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E234C75-94D4-413C-B611-41883FFA5D79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PVAB_Estructura" sheetId="1" r:id="rId1"/>
    <sheet name="Cociente_Localizacion" sheetId="2" r:id="rId2"/>
    <sheet name="Indices_Concentracion" sheetId="3" r:id="rId3"/>
    <sheet name="Gini_Desigualdad" sheetId="4" r:id="rId4"/>
    <sheet name="Mercado_Laboral" sheetId="5" r:id="rId5"/>
    <sheet name="Pobreza_Bienestar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4" i="6" l="1"/>
  <c r="B33" i="1"/>
  <c r="B21" i="1"/>
  <c r="K24" i="6"/>
  <c r="J24" i="6"/>
  <c r="I24" i="6"/>
  <c r="H24" i="6"/>
  <c r="G24" i="6"/>
  <c r="F24" i="6"/>
  <c r="E24" i="6"/>
  <c r="D24" i="6"/>
  <c r="B24" i="6"/>
  <c r="L23" i="6"/>
  <c r="L22" i="6"/>
  <c r="C14" i="6"/>
  <c r="B23" i="5"/>
  <c r="C22" i="5"/>
  <c r="B22" i="5"/>
  <c r="C21" i="5"/>
  <c r="B21" i="5"/>
  <c r="C19" i="5"/>
  <c r="B19" i="5"/>
  <c r="C18" i="5"/>
  <c r="B18" i="5"/>
  <c r="C17" i="5"/>
  <c r="B17" i="5"/>
  <c r="C16" i="5"/>
  <c r="B16" i="5"/>
  <c r="D7" i="5"/>
  <c r="C7" i="5"/>
  <c r="B7" i="5"/>
  <c r="E6" i="5"/>
  <c r="E5" i="5"/>
  <c r="B30" i="4"/>
  <c r="C27" i="4" s="1"/>
  <c r="E29" i="4"/>
  <c r="F29" i="4" s="1"/>
  <c r="F28" i="4"/>
  <c r="E28" i="4"/>
  <c r="C28" i="4"/>
  <c r="F27" i="4"/>
  <c r="E27" i="4"/>
  <c r="F26" i="4"/>
  <c r="E26" i="4"/>
  <c r="C26" i="4"/>
  <c r="E25" i="4"/>
  <c r="F25" i="4" s="1"/>
  <c r="F24" i="4"/>
  <c r="E24" i="4"/>
  <c r="C24" i="4"/>
  <c r="F23" i="4"/>
  <c r="E23" i="4"/>
  <c r="F22" i="4"/>
  <c r="E22" i="4"/>
  <c r="C22" i="4"/>
  <c r="E21" i="4"/>
  <c r="F21" i="4" s="1"/>
  <c r="F20" i="4"/>
  <c r="E20" i="4"/>
  <c r="C20" i="4"/>
  <c r="F19" i="4"/>
  <c r="E19" i="4"/>
  <c r="F18" i="4"/>
  <c r="E18" i="4"/>
  <c r="D18" i="4"/>
  <c r="C18" i="4"/>
  <c r="D37" i="3"/>
  <c r="D36" i="3"/>
  <c r="D35" i="3"/>
  <c r="D34" i="3"/>
  <c r="D33" i="3"/>
  <c r="D32" i="3"/>
  <c r="D31" i="3"/>
  <c r="D30" i="3"/>
  <c r="D29" i="3"/>
  <c r="D28" i="3"/>
  <c r="D27" i="3"/>
  <c r="D26" i="3"/>
  <c r="D38" i="3" s="1"/>
  <c r="B18" i="3"/>
  <c r="C17" i="3"/>
  <c r="E17" i="3" s="1"/>
  <c r="F17" i="3" s="1"/>
  <c r="E16" i="3"/>
  <c r="F16" i="3" s="1"/>
  <c r="C16" i="3"/>
  <c r="D16" i="3" s="1"/>
  <c r="C15" i="3"/>
  <c r="D15" i="3" s="1"/>
  <c r="E14" i="3"/>
  <c r="F14" i="3" s="1"/>
  <c r="C14" i="3"/>
  <c r="D14" i="3" s="1"/>
  <c r="C13" i="3"/>
  <c r="E13" i="3" s="1"/>
  <c r="F13" i="3" s="1"/>
  <c r="E12" i="3"/>
  <c r="F12" i="3" s="1"/>
  <c r="C12" i="3"/>
  <c r="D12" i="3" s="1"/>
  <c r="C11" i="3"/>
  <c r="D11" i="3" s="1"/>
  <c r="E10" i="3"/>
  <c r="F10" i="3" s="1"/>
  <c r="C10" i="3"/>
  <c r="D10" i="3" s="1"/>
  <c r="C9" i="3"/>
  <c r="E9" i="3" s="1"/>
  <c r="F9" i="3" s="1"/>
  <c r="E8" i="3"/>
  <c r="F8" i="3" s="1"/>
  <c r="C8" i="3"/>
  <c r="D8" i="3" s="1"/>
  <c r="C7" i="3"/>
  <c r="D7" i="3" s="1"/>
  <c r="E6" i="3"/>
  <c r="F6" i="3" s="1"/>
  <c r="C6" i="3"/>
  <c r="C18" i="3" s="1"/>
  <c r="C18" i="2"/>
  <c r="E17" i="2" s="1"/>
  <c r="B18" i="2"/>
  <c r="D17" i="2" s="1"/>
  <c r="F17" i="2" s="1"/>
  <c r="G17" i="2" s="1"/>
  <c r="D16" i="2"/>
  <c r="F32" i="1"/>
  <c r="D32" i="1"/>
  <c r="B32" i="1"/>
  <c r="D31" i="1"/>
  <c r="B31" i="1"/>
  <c r="F30" i="1"/>
  <c r="B30" i="1"/>
  <c r="F29" i="1"/>
  <c r="D29" i="1"/>
  <c r="F28" i="1"/>
  <c r="D28" i="1"/>
  <c r="B28" i="1"/>
  <c r="D27" i="1"/>
  <c r="B27" i="1"/>
  <c r="F26" i="1"/>
  <c r="B26" i="1"/>
  <c r="F25" i="1"/>
  <c r="D25" i="1"/>
  <c r="F24" i="1"/>
  <c r="D24" i="1"/>
  <c r="B24" i="1"/>
  <c r="D23" i="1"/>
  <c r="B23" i="1"/>
  <c r="F22" i="1"/>
  <c r="B22" i="1"/>
  <c r="F21" i="1"/>
  <c r="D21" i="1"/>
  <c r="G17" i="1"/>
  <c r="G30" i="1" s="1"/>
  <c r="F17" i="1"/>
  <c r="F31" i="1" s="1"/>
  <c r="E17" i="1"/>
  <c r="E29" i="1" s="1"/>
  <c r="D17" i="1"/>
  <c r="D30" i="1" s="1"/>
  <c r="C17" i="1"/>
  <c r="C32" i="1" s="1"/>
  <c r="B17" i="1"/>
  <c r="B29" i="1" s="1"/>
  <c r="H16" i="1"/>
  <c r="H15" i="1"/>
  <c r="H14" i="1"/>
  <c r="H13" i="1"/>
  <c r="H12" i="1"/>
  <c r="H11" i="1"/>
  <c r="H10" i="1"/>
  <c r="H9" i="1"/>
  <c r="H8" i="1"/>
  <c r="H7" i="1"/>
  <c r="H6" i="1"/>
  <c r="H5" i="1"/>
  <c r="D6" i="2" l="1"/>
  <c r="F6" i="2" s="1"/>
  <c r="G6" i="2" s="1"/>
  <c r="E6" i="2"/>
  <c r="D8" i="2"/>
  <c r="E10" i="2"/>
  <c r="D12" i="2"/>
  <c r="E8" i="2"/>
  <c r="E12" i="2"/>
  <c r="F12" i="2" s="1"/>
  <c r="G12" i="2" s="1"/>
  <c r="D14" i="2"/>
  <c r="D10" i="2"/>
  <c r="F10" i="2" s="1"/>
  <c r="G10" i="2" s="1"/>
  <c r="B21" i="3"/>
  <c r="H18" i="4"/>
  <c r="G21" i="1"/>
  <c r="C23" i="1"/>
  <c r="E24" i="1"/>
  <c r="G25" i="1"/>
  <c r="C27" i="1"/>
  <c r="E28" i="1"/>
  <c r="G29" i="1"/>
  <c r="C31" i="1"/>
  <c r="E32" i="1"/>
  <c r="C21" i="4"/>
  <c r="C25" i="4"/>
  <c r="C29" i="4"/>
  <c r="H17" i="1"/>
  <c r="E23" i="1"/>
  <c r="C26" i="1"/>
  <c r="E27" i="1"/>
  <c r="E31" i="1"/>
  <c r="D9" i="3"/>
  <c r="D13" i="3"/>
  <c r="D17" i="3"/>
  <c r="G18" i="4"/>
  <c r="D22" i="1"/>
  <c r="D33" i="1" s="1"/>
  <c r="F23" i="1"/>
  <c r="F33" i="1" s="1"/>
  <c r="B25" i="1"/>
  <c r="D26" i="1"/>
  <c r="F27" i="1"/>
  <c r="E7" i="3"/>
  <c r="F7" i="3" s="1"/>
  <c r="E11" i="3"/>
  <c r="F11" i="3" s="1"/>
  <c r="E15" i="3"/>
  <c r="F15" i="3" s="1"/>
  <c r="C22" i="1"/>
  <c r="G24" i="1"/>
  <c r="G28" i="1"/>
  <c r="C30" i="1"/>
  <c r="G32" i="1"/>
  <c r="E14" i="2"/>
  <c r="F14" i="2" s="1"/>
  <c r="G14" i="2" s="1"/>
  <c r="E16" i="2"/>
  <c r="F16" i="2" s="1"/>
  <c r="G16" i="2" s="1"/>
  <c r="C21" i="1"/>
  <c r="E22" i="1"/>
  <c r="G23" i="1"/>
  <c r="C25" i="1"/>
  <c r="E26" i="1"/>
  <c r="G27" i="1"/>
  <c r="C29" i="1"/>
  <c r="E30" i="1"/>
  <c r="G31" i="1"/>
  <c r="C19" i="4"/>
  <c r="D19" i="4" s="1"/>
  <c r="C23" i="4"/>
  <c r="D7" i="2"/>
  <c r="D9" i="2"/>
  <c r="D11" i="2"/>
  <c r="D13" i="2"/>
  <c r="D15" i="2"/>
  <c r="E21" i="1"/>
  <c r="G22" i="1"/>
  <c r="C24" i="1"/>
  <c r="E25" i="1"/>
  <c r="G26" i="1"/>
  <c r="C28" i="1"/>
  <c r="E7" i="2"/>
  <c r="E9" i="2"/>
  <c r="E11" i="2"/>
  <c r="E13" i="2"/>
  <c r="E15" i="2"/>
  <c r="D6" i="3"/>
  <c r="F9" i="2" l="1"/>
  <c r="G9" i="2" s="1"/>
  <c r="E18" i="2"/>
  <c r="F11" i="2"/>
  <c r="G11" i="2" s="1"/>
  <c r="F8" i="2"/>
  <c r="G8" i="2" s="1"/>
  <c r="F7" i="2"/>
  <c r="G7" i="2" s="1"/>
  <c r="D20" i="4"/>
  <c r="G19" i="4"/>
  <c r="H19" i="4" s="1"/>
  <c r="B20" i="3"/>
  <c r="F15" i="2"/>
  <c r="G15" i="2" s="1"/>
  <c r="G33" i="1"/>
  <c r="E33" i="1"/>
  <c r="C33" i="1"/>
  <c r="F13" i="2"/>
  <c r="G13" i="2" s="1"/>
  <c r="D18" i="2"/>
  <c r="G20" i="4" l="1"/>
  <c r="H20" i="4" s="1"/>
  <c r="D21" i="4"/>
  <c r="G21" i="4" l="1"/>
  <c r="H21" i="4" s="1"/>
  <c r="D22" i="4"/>
  <c r="D23" i="4" l="1"/>
  <c r="G22" i="4"/>
  <c r="H22" i="4" s="1"/>
  <c r="D24" i="4" l="1"/>
  <c r="G23" i="4"/>
  <c r="H23" i="4" s="1"/>
  <c r="G24" i="4" l="1"/>
  <c r="H24" i="4" s="1"/>
  <c r="D25" i="4"/>
  <c r="G25" i="4" l="1"/>
  <c r="H25" i="4" s="1"/>
  <c r="D26" i="4"/>
  <c r="D27" i="4" l="1"/>
  <c r="G26" i="4"/>
  <c r="H26" i="4" s="1"/>
  <c r="D28" i="4" l="1"/>
  <c r="G27" i="4"/>
  <c r="H27" i="4" s="1"/>
  <c r="G28" i="4" l="1"/>
  <c r="H28" i="4" s="1"/>
  <c r="D29" i="4"/>
  <c r="G29" i="4" s="1"/>
  <c r="H29" i="4" s="1"/>
  <c r="B32" i="4" s="1"/>
</calcChain>
</file>

<file path=xl/sharedStrings.xml><?xml version="1.0" encoding="utf-8"?>
<sst xmlns="http://schemas.openxmlformats.org/spreadsheetml/2006/main" count="260" uniqueCount="180">
  <si>
    <t>Fuente: INEI - Cuentas Regionales. Elaboración propia.</t>
  </si>
  <si>
    <t>Actividad Económica</t>
  </si>
  <si>
    <t>2019</t>
  </si>
  <si>
    <t>2020</t>
  </si>
  <si>
    <t>2021</t>
  </si>
  <si>
    <t>2022</t>
  </si>
  <si>
    <t>2023</t>
  </si>
  <si>
    <t>2024</t>
  </si>
  <si>
    <t>Var% 2019-2024</t>
  </si>
  <si>
    <t>Agricultura, Ganadería, Caza y Silvicultura</t>
  </si>
  <si>
    <t>Pesca y Acuicultura</t>
  </si>
  <si>
    <t>Extracción de Petróleo, Gas y Minerales</t>
  </si>
  <si>
    <t>Manufactura</t>
  </si>
  <si>
    <t>Electricidad, Gas y Agua</t>
  </si>
  <si>
    <t>Construcción</t>
  </si>
  <si>
    <t>Comercio</t>
  </si>
  <si>
    <t>Transporte, Almacenamiento, Correo y Mensajería</t>
  </si>
  <si>
    <t>Alojamiento y Restaurantes</t>
  </si>
  <si>
    <t>Telecomunicaciones y Otros Serv. de Información</t>
  </si>
  <si>
    <t>Administración Pública y Defensa</t>
  </si>
  <si>
    <t>Otros Servicios</t>
  </si>
  <si>
    <t>TOTAL VAB</t>
  </si>
  <si>
    <t>ESTRUCTURA PORCENTUAL (%)</t>
  </si>
  <si>
    <t>TOTAL</t>
  </si>
  <si>
    <t>Nota: Elaboración propia. Datos del INEI - Cuentas Regionales (2025). P/=Preliminar. E/=Estimado.</t>
  </si>
  <si>
    <t>Fórmula: QL_ij = (VAB_ij/VAB_i) / (VAB_j/VAB)   |   QL &gt; 1 = sector especializado en Ica</t>
  </si>
  <si>
    <t>VAB Ica 2023
(Miles S/)</t>
  </si>
  <si>
    <t>VAB Perú 2023
(Miles S/)</t>
  </si>
  <si>
    <t>s_Ica
(VAB_ij/VAB_i)</t>
  </si>
  <si>
    <t>s_Perú
(VAB_j/VAB)</t>
  </si>
  <si>
    <t>QL</t>
  </si>
  <si>
    <t>Interpretación</t>
  </si>
  <si>
    <t>Nota: VAB Perú 2023 obtenido de archivos sectoriales INEI (pbi_act01 a pbi_act12). Elaboración propia.</t>
  </si>
  <si>
    <t>A) ÍNDICE HERFINDAHL-HIRSCHMAN (IHH) = Σ s²_j</t>
  </si>
  <si>
    <t>Interpretación: 0 = máxima diversificación; 1 = máxima concentración. IHH &gt; 0.25 = alta concentración.</t>
  </si>
  <si>
    <t>► IHH Ica =</t>
  </si>
  <si>
    <t>(Entre 0 y 1. Ica tiene concentración moderada si &lt; 0.25)</t>
  </si>
  <si>
    <t>► Índice de Ogive Ica =</t>
  </si>
  <si>
    <t>(Cercano a 0 = diversificada; alto = especializada)</t>
  </si>
  <si>
    <t>B) ÍNDICE DE KRUGMAN = Σ |s_Ica_j - s_Perú_j|</t>
  </si>
  <si>
    <t>Interpretación: 0 = estructuras idénticas; 2 = completamente diferentes.</t>
  </si>
  <si>
    <t>|s_Ica - s_Perú|</t>
  </si>
  <si>
    <t>► Índice de Krugman =</t>
  </si>
  <si>
    <t>Nota: Elaboración propia con datos INEI Cuentas Regionales y Cuentas Nacionales 2023.</t>
  </si>
  <si>
    <t>Fórmula: G = 1 - Σ(X_k - X_{k-1})(Y_k + Y_{k-1})  |  Fuente: ENAHO 2024 - Módulo 34 Sumaria</t>
  </si>
  <si>
    <t>A) GINI DE GASTO PER CÁPITA (1,500 hogares de Ica — ENAHO 2024)</t>
  </si>
  <si>
    <t>Indicador</t>
  </si>
  <si>
    <t>Valor</t>
  </si>
  <si>
    <t>Unidad/Nota</t>
  </si>
  <si>
    <t>N° hogares Ica (muestra)</t>
  </si>
  <si>
    <t>hogares encuestados</t>
  </si>
  <si>
    <t>Gasto promedio anual hogar</t>
  </si>
  <si>
    <t>soles corrientes (GASHOG2D prom.)</t>
  </si>
  <si>
    <t>Gasto per cápita promedio anual</t>
  </si>
  <si>
    <t>soles corrientes</t>
  </si>
  <si>
    <t>Gasto per cápita mediana anual</t>
  </si>
  <si>
    <t>Gasto per cápita promedio mensual</t>
  </si>
  <si>
    <t>COEFICIENTE DE GINI</t>
  </si>
  <si>
    <t>0=igualdad perfecta; 1=desigualdad máxima</t>
  </si>
  <si>
    <t>Desigualdad baja-moderada</t>
  </si>
  <si>
    <t>Ica &lt; Perú nacional (~0.40)</t>
  </si>
  <si>
    <t>B) GINI SECTORIAL DEL VAB — Ica 2023 (Curva de Lorenz por sectores)</t>
  </si>
  <si>
    <t>Sectores ordenados de menor a mayor VAB. Fórmula trapezoidal aplicada.</t>
  </si>
  <si>
    <t>Sector (ordenado)</t>
  </si>
  <si>
    <t>VAB 2023
(Miles S/)</t>
  </si>
  <si>
    <t>Prop. VAB
(s_j)</t>
  </si>
  <si>
    <t>Prop. acum.
VAB (Y_k)</t>
  </si>
  <si>
    <t>Prop. acum.
Sectores (X_k)</t>
  </si>
  <si>
    <t>(X_k - X_{k-1})</t>
  </si>
  <si>
    <t>(Y_k + Y_{k-1})</t>
  </si>
  <si>
    <t>Componente
Lorenz</t>
  </si>
  <si>
    <t>1. Pesca y Acuicultura</t>
  </si>
  <si>
    <t>2. Alojamiento y Restaurantes</t>
  </si>
  <si>
    <t>3. Electricidad, Gas y Agua</t>
  </si>
  <si>
    <t>4. Administración Pública y Defensa</t>
  </si>
  <si>
    <t>5. Telecomunicaciones y Otros Serv. de Información</t>
  </si>
  <si>
    <t>6. Transporte, Almacenamiento, Correo y Mensajería</t>
  </si>
  <si>
    <t>7. Comercio</t>
  </si>
  <si>
    <t>8. Construcción</t>
  </si>
  <si>
    <t>9. Otros Servicios</t>
  </si>
  <si>
    <t>10. Agricultura, Ganadería, Caza y Silvicultura</t>
  </si>
  <si>
    <t>11. Manufactura</t>
  </si>
  <si>
    <t>12. Extracción de Petróleo, Gas y Minerales</t>
  </si>
  <si>
    <t>► GINI SECTORIAL =</t>
  </si>
  <si>
    <t>G = 1 - Σ(X_k - X_{k-1})(Y_k + Y_{k-1})</t>
  </si>
  <si>
    <t>Nota: Gini hogares calculado con GASHOG2D/MIEPERHO (ENAHO 2024, N=1500 hogares Ica). Gini sectorial calculado con VAB por actividad 2023 (INEI).</t>
  </si>
  <si>
    <t>A) POBLACIÓN EN EDAD DE TRABAJAR (EPEN 2022-2024)</t>
  </si>
  <si>
    <t>Var% 2022-2024</t>
  </si>
  <si>
    <t>PET Ica (miles de personas)</t>
  </si>
  <si>
    <t>PET Perú (miles de personas)</t>
  </si>
  <si>
    <t>Participación Ica/Perú (%)</t>
  </si>
  <si>
    <t>Fuente: INEI - Encuesta Permanente de Empleo Nacional (EPEN 2022-2024).</t>
  </si>
  <si>
    <t>B) INDICADORES LABORALES — Ica 2024 (ENAHO Módulo 5, N=3,794 personas)</t>
  </si>
  <si>
    <t>Valor Ica 2024</t>
  </si>
  <si>
    <t>Fórmula / Fuente</t>
  </si>
  <si>
    <t>Personas en muestra ENAHO Ica</t>
  </si>
  <si>
    <t>Total registros módulo 5 filtrado por UBIGEO 11XXXX</t>
  </si>
  <si>
    <t>Ocupados (OCU500=1)</t>
  </si>
  <si>
    <t>Personas que trabajaron la semana de referencia</t>
  </si>
  <si>
    <t>Desocupados (OCU500=2)</t>
  </si>
  <si>
    <t>Buscaron trabajo activamente</t>
  </si>
  <si>
    <t>Inactivos (OCU500=3,4)</t>
  </si>
  <si>
    <t>No trabajaron ni buscaron trabajo</t>
  </si>
  <si>
    <t>PEA = Ocupados + Desocupados</t>
  </si>
  <si>
    <t>Tasa de Actividad (PEA/PET muestra)</t>
  </si>
  <si>
    <t>Tasa de Desempleo (Desoc/PEA)</t>
  </si>
  <si>
    <t>Tasa de Empleo (Ocup/PEA)</t>
  </si>
  <si>
    <t>Empleo informal (CODINFOR 2,4,5)</t>
  </si>
  <si>
    <t>Informal privado + indep. informal + hogar</t>
  </si>
  <si>
    <t>Empleo formal</t>
  </si>
  <si>
    <t>Tasa de Informalidad</t>
  </si>
  <si>
    <t>Ingreso laboral promedio anual (I524A1)</t>
  </si>
  <si>
    <t>Soles anuales - muestra con ingreso&gt;0</t>
  </si>
  <si>
    <t>Ingreso laboral promedio MENSUAL</t>
  </si>
  <si>
    <t>Horas/semana promedio (P513T)</t>
  </si>
  <si>
    <t>Ingreso laboral mediana mensual</t>
  </si>
  <si>
    <t>Soles/mes (percentil 50)</t>
  </si>
  <si>
    <t>Horas trabajadas promedio/semana</t>
  </si>
  <si>
    <t>Variable P513T</t>
  </si>
  <si>
    <t>Fuente: INEI - ENAHO 2024, Módulo 5 (Empleo e Ingresos). Elaboración propia.</t>
  </si>
  <si>
    <t>Nota: OCU500: 1=Ocupado, 2=Desocupado, 3=Inactivo buscó, 4=Inactivo no buscó.</t>
  </si>
  <si>
    <t>A) POBREZA MONETARIA — Ica 2024 (ENAHO Módulo 34, N=1,500 hogares)</t>
  </si>
  <si>
    <t>Condición de Pobreza</t>
  </si>
  <si>
    <t>N° Hogares</t>
  </si>
  <si>
    <t>% Hogares</t>
  </si>
  <si>
    <t>POBREZA código</t>
  </si>
  <si>
    <t>Definición</t>
  </si>
  <si>
    <t>Pobre Extremo</t>
  </si>
  <si>
    <t>0.07%</t>
  </si>
  <si>
    <t>1</t>
  </si>
  <si>
    <t>Gasto &lt; Línea pobreza extrema (LINPE)</t>
  </si>
  <si>
    <t>Pobre No Extremo</t>
  </si>
  <si>
    <t>3.13%</t>
  </si>
  <si>
    <t>2</t>
  </si>
  <si>
    <t>LINPE ≤ Gasto &lt; Línea pobreza total (LINEA)</t>
  </si>
  <si>
    <t>No Pobre</t>
  </si>
  <si>
    <t>96.80%</t>
  </si>
  <si>
    <t>3</t>
  </si>
  <si>
    <t>Gasto ≥ LINEA</t>
  </si>
  <si>
    <t>TOTAL HOGARES</t>
  </si>
  <si>
    <t>100%</t>
  </si>
  <si>
    <t>B) ÍNDICES FGT (Foster-Greer-Thorbecke) — Ica 2024</t>
  </si>
  <si>
    <t>Fórmula: P_α = (1/N) Σ [(L-y_i)/L]^α   donde L=línea de pobreza, y_i=gasto per cápita</t>
  </si>
  <si>
    <t>Índice FGT</t>
  </si>
  <si>
    <t>α</t>
  </si>
  <si>
    <t>P0 — Incidencia de pobreza</t>
  </si>
  <si>
    <t>0</t>
  </si>
  <si>
    <t>Proporción de hogares pobres (P. total + P. extrema)</t>
  </si>
  <si>
    <t>P1 — Brecha de pobreza</t>
  </si>
  <si>
    <t>~0.008</t>
  </si>
  <si>
    <t>Insuficiencia promedio del gasto respecto a la línea</t>
  </si>
  <si>
    <t>P2 — Severidad de pobreza</t>
  </si>
  <si>
    <t>~0.002</t>
  </si>
  <si>
    <t>Pondera más a los más pobres (desigualdad entre pobres)</t>
  </si>
  <si>
    <t>C) SERIE HISTÓRICA — Tasa de Pobreza Total Ica vs. Perú (%)</t>
  </si>
  <si>
    <t>Fuente: Informe Técnico Evolución de la Pobreza Monetaria 2016-2025 (INEI, 2025).</t>
  </si>
  <si>
    <t>Ámbito</t>
  </si>
  <si>
    <t>2016</t>
  </si>
  <si>
    <t>2017</t>
  </si>
  <si>
    <t>2018</t>
  </si>
  <si>
    <t>2025</t>
  </si>
  <si>
    <t>Tendencia</t>
  </si>
  <si>
    <t>Ica</t>
  </si>
  <si>
    <t>Perú</t>
  </si>
  <si>
    <t>Brecha (Ica - Perú)</t>
  </si>
  <si>
    <t>Nota: Datos 2016-2024 del Informe Técnico INEI. Dato 2025: INEI comunicado mayo 2026 (Ica=4.5%, Perú=25.7%).</t>
  </si>
  <si>
    <t>(*) Pobreza 2020 elevada por impacto COVID-19. Elaboración propia.</t>
  </si>
  <si>
    <t xml:space="preserve"> QL &gt; 1 indica especialización relativa del sector en Ica.</t>
  </si>
  <si>
    <t xml:space="preserve"> Ica: Estructura Sectorial del VAB (Miles de soles a precios constantes 2007)</t>
  </si>
  <si>
    <t xml:space="preserve"> Índices de Concentración y Diversificación — Ica, 2023</t>
  </si>
  <si>
    <t xml:space="preserve"> Pobreza Monetaria y Bienestar — Ica (ENAHO 2024 + Serie INEI)</t>
  </si>
  <si>
    <t xml:space="preserve"> Mercado Laboral — Ica, 2024 (ENAHO + EPEN)</t>
  </si>
  <si>
    <t xml:space="preserve"> Índice de Gini — Ica, 2024 (ENAHO)</t>
  </si>
  <si>
    <t>Cociente de Localización (QL) — Ica vs. Perú, 2023</t>
  </si>
  <si>
    <t>sj = VABj/VABtotal</t>
  </si>
  <si>
    <t>s²j (IHH)</t>
  </si>
  <si>
    <t>sj - 1/n (Ogive)</t>
  </si>
  <si>
    <t>(sj - 1/n)² / (1/n)</t>
  </si>
  <si>
    <t>s_Ica</t>
  </si>
  <si>
    <t>s_Perú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</si>
</sst>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000"/>
    <numFmt numFmtId="166" formatCode="0.000"/>
    <numFmt numFmtId="167" formatCode="#,##0.0"/>
    <numFmt numFmtId="168" formatCode="0.0"/>
  </numFmts>
  <fonts count="15" x14ac:knownFonts="1">
    <font>
      <sz val="11"/>
      <color theme="1"/>
      <name val="Calibri"/>
      <family val="2"/>
      <charset val="1"/>
    </font>
    <font>
      <b/>
      <sz val="12"/>
      <color rgb="FF2E4057"/>
      <name val="Arial"/>
      <family val="2"/>
    </font>
    <font>
      <i/>
      <sz val="8"/>
      <color rgb="FF666666"/>
      <name val="Cambria"/>
      <family val="1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2E4057"/>
      <name val="Cambria"/>
      <family val="1"/>
    </font>
    <font>
      <i/>
      <sz val="8"/>
      <color rgb="FF666666"/>
      <name val="Arial"/>
      <family val="2"/>
    </font>
    <font>
      <i/>
      <sz val="9"/>
      <color rgb="FF1A7D4E"/>
      <name val="Cambria"/>
      <family val="1"/>
    </font>
    <font>
      <i/>
      <sz val="8"/>
      <name val="Cambria"/>
      <family val="1"/>
    </font>
    <font>
      <b/>
      <sz val="11"/>
      <color rgb="FF2E4057"/>
      <name val="Cambria"/>
      <family val="1"/>
    </font>
    <font>
      <i/>
      <sz val="9"/>
      <name val="Cambria"/>
      <family val="1"/>
    </font>
    <font>
      <i/>
      <sz val="9"/>
      <color rgb="FF8B0000"/>
      <name val="Cambria"/>
      <family val="1"/>
    </font>
    <font>
      <i/>
      <sz val="9"/>
      <color rgb="FF2E4057"/>
      <name val="Cambria"/>
      <family val="1"/>
    </font>
    <font>
      <b/>
      <sz val="10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D9E8F5"/>
        <bgColor rgb="FFF2F2F2"/>
      </patternFill>
    </fill>
    <fill>
      <patternFill patternType="solid">
        <fgColor rgb="FFFFF3CD"/>
        <bgColor rgb="FFF2F2F2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FFFFFF"/>
      </left>
      <right/>
      <top/>
      <bottom/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3" fontId="4" fillId="3" borderId="2" xfId="0" applyNumberFormat="1" applyFont="1" applyFill="1" applyBorder="1" applyAlignment="1">
      <alignment horizontal="right" vertical="center"/>
    </xf>
    <xf numFmtId="164" fontId="4" fillId="3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3" fontId="4" fillId="4" borderId="2" xfId="0" applyNumberFormat="1" applyFont="1" applyFill="1" applyBorder="1" applyAlignment="1">
      <alignment horizontal="right" vertical="center"/>
    </xf>
    <xf numFmtId="164" fontId="4" fillId="4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/>
    </xf>
    <xf numFmtId="3" fontId="5" fillId="5" borderId="2" xfId="0" applyNumberFormat="1" applyFont="1" applyFill="1" applyBorder="1" applyAlignment="1">
      <alignment horizontal="right" vertical="center"/>
    </xf>
    <xf numFmtId="164" fontId="5" fillId="5" borderId="2" xfId="0" applyNumberFormat="1" applyFont="1" applyFill="1" applyBorder="1" applyAlignment="1">
      <alignment horizontal="right" vertical="center"/>
    </xf>
    <xf numFmtId="0" fontId="6" fillId="0" borderId="0" xfId="0" applyFont="1" applyAlignment="1"/>
    <xf numFmtId="10" fontId="4" fillId="3" borderId="2" xfId="0" applyNumberFormat="1" applyFont="1" applyFill="1" applyBorder="1" applyAlignment="1">
      <alignment horizontal="right" vertical="center"/>
    </xf>
    <xf numFmtId="10" fontId="4" fillId="4" borderId="2" xfId="0" applyNumberFormat="1" applyFont="1" applyFill="1" applyBorder="1" applyAlignment="1">
      <alignment horizontal="right" vertical="center"/>
    </xf>
    <xf numFmtId="10" fontId="5" fillId="5" borderId="2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/>
    </xf>
    <xf numFmtId="0" fontId="8" fillId="0" borderId="0" xfId="0" applyFont="1" applyAlignment="1"/>
    <xf numFmtId="165" fontId="4" fillId="3" borderId="2" xfId="0" applyNumberFormat="1" applyFont="1" applyFill="1" applyBorder="1" applyAlignment="1">
      <alignment horizontal="right" vertical="center"/>
    </xf>
    <xf numFmtId="166" fontId="5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right" vertical="center"/>
    </xf>
    <xf numFmtId="166" fontId="5" fillId="4" borderId="2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center" vertical="center"/>
    </xf>
    <xf numFmtId="165" fontId="5" fillId="5" borderId="2" xfId="0" applyNumberFormat="1" applyFont="1" applyFill="1" applyBorder="1" applyAlignment="1">
      <alignment horizontal="right" vertical="center"/>
    </xf>
    <xf numFmtId="0" fontId="9" fillId="0" borderId="0" xfId="0" applyFont="1" applyAlignment="1"/>
    <xf numFmtId="0" fontId="10" fillId="0" borderId="0" xfId="0" applyFont="1" applyAlignment="1"/>
    <xf numFmtId="165" fontId="5" fillId="6" borderId="2" xfId="0" applyNumberFormat="1" applyFont="1" applyFill="1" applyBorder="1" applyAlignment="1">
      <alignment horizontal="right" vertical="center"/>
    </xf>
    <xf numFmtId="0" fontId="11" fillId="0" borderId="0" xfId="0" applyFont="1" applyAlignment="1"/>
    <xf numFmtId="0" fontId="12" fillId="0" borderId="0" xfId="0" applyFont="1" applyAlignment="1"/>
    <xf numFmtId="0" fontId="5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49" fontId="4" fillId="3" borderId="2" xfId="0" applyNumberFormat="1" applyFont="1" applyFill="1" applyBorder="1" applyAlignment="1">
      <alignment horizontal="right" vertical="center"/>
    </xf>
    <xf numFmtId="0" fontId="13" fillId="0" borderId="0" xfId="0" applyFont="1" applyAlignment="1"/>
    <xf numFmtId="167" fontId="4" fillId="3" borderId="2" xfId="0" applyNumberFormat="1" applyFont="1" applyFill="1" applyBorder="1" applyAlignment="1">
      <alignment horizontal="right" vertical="center"/>
    </xf>
    <xf numFmtId="167" fontId="4" fillId="4" borderId="2" xfId="0" applyNumberFormat="1" applyFont="1" applyFill="1" applyBorder="1" applyAlignment="1">
      <alignment horizontal="right" vertical="center"/>
    </xf>
    <xf numFmtId="3" fontId="5" fillId="6" borderId="2" xfId="0" applyNumberFormat="1" applyFont="1" applyFill="1" applyBorder="1" applyAlignment="1">
      <alignment horizontal="right" vertical="center"/>
    </xf>
    <xf numFmtId="10" fontId="5" fillId="6" borderId="2" xfId="0" applyNumberFormat="1" applyFont="1" applyFill="1" applyBorder="1" applyAlignment="1">
      <alignment horizontal="right" vertical="center"/>
    </xf>
    <xf numFmtId="10" fontId="4" fillId="4" borderId="2" xfId="0" applyNumberFormat="1" applyFont="1" applyFill="1" applyBorder="1" applyAlignment="1">
      <alignment horizontal="left" vertical="center"/>
    </xf>
    <xf numFmtId="168" fontId="4" fillId="3" borderId="2" xfId="0" applyNumberFormat="1" applyFont="1" applyFill="1" applyBorder="1" applyAlignment="1">
      <alignment horizontal="right" vertical="center"/>
    </xf>
    <xf numFmtId="3" fontId="4" fillId="6" borderId="2" xfId="0" applyNumberFormat="1" applyFont="1" applyFill="1" applyBorder="1" applyAlignment="1">
      <alignment horizontal="right" vertical="center"/>
    </xf>
    <xf numFmtId="0" fontId="4" fillId="6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left" vertical="center"/>
    </xf>
    <xf numFmtId="164" fontId="5" fillId="6" borderId="2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" fillId="7" borderId="0" xfId="0" applyFont="1" applyFill="1" applyAlignment="1">
      <alignment horizontal="left" vertical="center"/>
    </xf>
    <xf numFmtId="0" fontId="0" fillId="7" borderId="0" xfId="0" applyFill="1" applyAlignment="1"/>
    <xf numFmtId="0" fontId="0" fillId="7" borderId="0" xfId="0" applyFill="1"/>
    <xf numFmtId="0" fontId="1" fillId="0" borderId="0" xfId="0" applyFont="1" applyFill="1" applyAlignment="1">
      <alignment horizontal="left" vertical="center"/>
    </xf>
    <xf numFmtId="0" fontId="0" fillId="0" borderId="0" xfId="0" applyFill="1" applyAlignment="1"/>
    <xf numFmtId="0" fontId="0" fillId="0" borderId="0" xfId="0" applyFill="1"/>
    <xf numFmtId="0" fontId="0" fillId="0" borderId="0" xfId="0" applyFill="1" applyAlignment="1">
      <alignment horizontal="center"/>
    </xf>
    <xf numFmtId="0" fontId="14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808000"/>
      <rgbColor rgb="FF800080"/>
      <rgbColor rgb="FF1A7D4E"/>
      <rgbColor rgb="FFCCCCCC"/>
      <rgbColor rgb="FF808080"/>
      <rgbColor rgb="FF9999FF"/>
      <rgbColor rgb="FF993366"/>
      <rgbColor rgb="FFFFF3CD"/>
      <rgbColor rgb="FFD9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266700</xdr:colOff>
          <xdr:row>1</xdr:row>
          <xdr:rowOff>53340</xdr:rowOff>
        </xdr:from>
        <xdr:to>
          <xdr:col>4</xdr:col>
          <xdr:colOff>510540</xdr:colOff>
          <xdr:row>2</xdr:row>
          <xdr:rowOff>137160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53E085F-97C6-471D-9D28-61053FC363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480060</xdr:colOff>
          <xdr:row>22</xdr:row>
          <xdr:rowOff>22860</xdr:rowOff>
        </xdr:from>
        <xdr:to>
          <xdr:col>5</xdr:col>
          <xdr:colOff>662940</xdr:colOff>
          <xdr:row>23</xdr:row>
          <xdr:rowOff>358140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C8D82D96-A1D9-4B78-90A1-CF31F3733D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525780</xdr:colOff>
          <xdr:row>1</xdr:row>
          <xdr:rowOff>38100</xdr:rowOff>
        </xdr:from>
        <xdr:to>
          <xdr:col>5</xdr:col>
          <xdr:colOff>525780</xdr:colOff>
          <xdr:row>2</xdr:row>
          <xdr:rowOff>152400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E7A5C5A0-56ED-45E4-A1CC-023A2F952D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FFFFFF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76200</xdr:colOff>
          <xdr:row>2</xdr:row>
          <xdr:rowOff>30480</xdr:rowOff>
        </xdr:from>
        <xdr:to>
          <xdr:col>6</xdr:col>
          <xdr:colOff>922020</xdr:colOff>
          <xdr:row>4</xdr:row>
          <xdr:rowOff>91440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60D70871-C574-4709-81A6-A909677522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w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image" Target="../media/image3.emf"/><Relationship Id="rId5" Type="http://schemas.openxmlformats.org/officeDocument/2006/relationships/oleObject" Target="../embeddings/oleObject3.bin"/><Relationship Id="rId4" Type="http://schemas.openxmlformats.org/officeDocument/2006/relationships/image" Target="../media/image2.emf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4.bin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image" Target="../media/image4.w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zoomScaleNormal="100" workbookViewId="0">
      <selection activeCell="A37" sqref="A37"/>
    </sheetView>
  </sheetViews>
  <sheetFormatPr baseColWidth="10" defaultColWidth="8.6640625" defaultRowHeight="14.4" x14ac:dyDescent="0.3"/>
  <cols>
    <col min="1" max="1" width="42" style="1" customWidth="1"/>
    <col min="2" max="8" width="14" style="1" customWidth="1"/>
  </cols>
  <sheetData>
    <row r="1" spans="1:15" ht="30" customHeight="1" x14ac:dyDescent="0.3">
      <c r="A1" s="61" t="s">
        <v>168</v>
      </c>
      <c r="B1" s="62"/>
      <c r="C1" s="62"/>
      <c r="D1" s="62"/>
      <c r="E1" s="62"/>
      <c r="F1" s="62"/>
      <c r="G1" s="62"/>
      <c r="H1" s="62"/>
      <c r="I1" s="63"/>
      <c r="J1" s="63"/>
      <c r="K1" s="63"/>
      <c r="L1" s="63"/>
      <c r="M1" s="63"/>
      <c r="N1" s="63"/>
      <c r="O1" s="63"/>
    </row>
    <row r="2" spans="1:15" ht="15" customHeight="1" x14ac:dyDescent="0.3">
      <c r="A2" s="2" t="s">
        <v>0</v>
      </c>
    </row>
    <row r="4" spans="1:15" ht="23.25" customHeight="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</row>
    <row r="5" spans="1:15" ht="15" customHeight="1" x14ac:dyDescent="0.3">
      <c r="A5" s="4" t="s">
        <v>9</v>
      </c>
      <c r="B5" s="5">
        <v>2488993</v>
      </c>
      <c r="C5" s="5">
        <v>2469435</v>
      </c>
      <c r="D5" s="5">
        <v>2745500</v>
      </c>
      <c r="E5" s="5">
        <v>2873774</v>
      </c>
      <c r="F5" s="5">
        <v>3138723</v>
      </c>
      <c r="G5" s="5">
        <v>2972943</v>
      </c>
      <c r="H5" s="6">
        <f t="shared" ref="H5:H17" si="0">(G5-B5)/B5</f>
        <v>0.19443606309861056</v>
      </c>
    </row>
    <row r="6" spans="1:15" ht="15" customHeight="1" x14ac:dyDescent="0.3">
      <c r="A6" s="7" t="s">
        <v>10</v>
      </c>
      <c r="B6" s="8">
        <v>153948</v>
      </c>
      <c r="C6" s="8">
        <v>107036</v>
      </c>
      <c r="D6" s="8">
        <v>153185</v>
      </c>
      <c r="E6" s="8">
        <v>152941</v>
      </c>
      <c r="F6" s="8">
        <v>100493</v>
      </c>
      <c r="G6" s="8">
        <v>139934</v>
      </c>
      <c r="H6" s="9">
        <f t="shared" si="0"/>
        <v>-9.103073765167459E-2</v>
      </c>
    </row>
    <row r="7" spans="1:15" ht="15" customHeight="1" x14ac:dyDescent="0.3">
      <c r="A7" s="4" t="s">
        <v>11</v>
      </c>
      <c r="B7" s="5">
        <v>2754340</v>
      </c>
      <c r="C7" s="5">
        <v>2326159</v>
      </c>
      <c r="D7" s="5">
        <v>3785865</v>
      </c>
      <c r="E7" s="5">
        <v>4157060</v>
      </c>
      <c r="F7" s="5">
        <v>4418140</v>
      </c>
      <c r="G7" s="5">
        <v>4478819</v>
      </c>
      <c r="H7" s="6">
        <f t="shared" si="0"/>
        <v>0.62609518069664605</v>
      </c>
    </row>
    <row r="8" spans="1:15" ht="15" customHeight="1" x14ac:dyDescent="0.3">
      <c r="A8" s="7" t="s">
        <v>12</v>
      </c>
      <c r="B8" s="8">
        <v>3287913</v>
      </c>
      <c r="C8" s="8">
        <v>2962827</v>
      </c>
      <c r="D8" s="8">
        <v>3777791</v>
      </c>
      <c r="E8" s="8">
        <v>4088943</v>
      </c>
      <c r="F8" s="8">
        <v>3731739</v>
      </c>
      <c r="G8" s="8">
        <v>3889238</v>
      </c>
      <c r="H8" s="9">
        <f t="shared" si="0"/>
        <v>0.18288957159146244</v>
      </c>
    </row>
    <row r="9" spans="1:15" ht="15" customHeight="1" x14ac:dyDescent="0.3">
      <c r="A9" s="4" t="s">
        <v>13</v>
      </c>
      <c r="B9" s="5">
        <v>293228</v>
      </c>
      <c r="C9" s="5">
        <v>276584</v>
      </c>
      <c r="D9" s="5">
        <v>304899</v>
      </c>
      <c r="E9" s="5">
        <v>331427</v>
      </c>
      <c r="F9" s="5">
        <v>379238</v>
      </c>
      <c r="G9" s="5">
        <v>505561</v>
      </c>
      <c r="H9" s="6">
        <f t="shared" si="0"/>
        <v>0.72412252581608849</v>
      </c>
    </row>
    <row r="10" spans="1:15" ht="15" customHeight="1" x14ac:dyDescent="0.3">
      <c r="A10" s="7" t="s">
        <v>14</v>
      </c>
      <c r="B10" s="8">
        <v>2161384</v>
      </c>
      <c r="C10" s="8">
        <v>1592772</v>
      </c>
      <c r="D10" s="8">
        <v>2247771</v>
      </c>
      <c r="E10" s="8">
        <v>2437159</v>
      </c>
      <c r="F10" s="8">
        <v>2054570</v>
      </c>
      <c r="G10" s="8">
        <v>2334243</v>
      </c>
      <c r="H10" s="9">
        <f t="shared" si="0"/>
        <v>7.9976070887912559E-2</v>
      </c>
    </row>
    <row r="11" spans="1:15" ht="15" customHeight="1" x14ac:dyDescent="0.3">
      <c r="A11" s="4" t="s">
        <v>15</v>
      </c>
      <c r="B11" s="5">
        <v>1537333</v>
      </c>
      <c r="C11" s="5">
        <v>1354643</v>
      </c>
      <c r="D11" s="5">
        <v>1637214</v>
      </c>
      <c r="E11" s="5">
        <v>1692119</v>
      </c>
      <c r="F11" s="5">
        <v>1723292</v>
      </c>
      <c r="G11" s="5">
        <v>1758854</v>
      </c>
      <c r="H11" s="6">
        <f t="shared" si="0"/>
        <v>0.14409435041074381</v>
      </c>
    </row>
    <row r="12" spans="1:15" ht="15" customHeight="1" x14ac:dyDescent="0.3">
      <c r="A12" s="7" t="s">
        <v>16</v>
      </c>
      <c r="B12" s="8">
        <v>1101679</v>
      </c>
      <c r="C12" s="8">
        <v>869735</v>
      </c>
      <c r="D12" s="8">
        <v>1006391</v>
      </c>
      <c r="E12" s="8">
        <v>1085809</v>
      </c>
      <c r="F12" s="8">
        <v>1122472</v>
      </c>
      <c r="G12" s="8">
        <v>1177875</v>
      </c>
      <c r="H12" s="9">
        <f t="shared" si="0"/>
        <v>6.916352222380566E-2</v>
      </c>
    </row>
    <row r="13" spans="1:15" ht="15" customHeight="1" x14ac:dyDescent="0.3">
      <c r="A13" s="4" t="s">
        <v>17</v>
      </c>
      <c r="B13" s="5">
        <v>265293</v>
      </c>
      <c r="C13" s="5">
        <v>130242</v>
      </c>
      <c r="D13" s="5">
        <v>179050</v>
      </c>
      <c r="E13" s="5">
        <v>222342</v>
      </c>
      <c r="F13" s="5">
        <v>227867</v>
      </c>
      <c r="G13" s="5">
        <v>233822</v>
      </c>
      <c r="H13" s="6">
        <f t="shared" si="0"/>
        <v>-0.11862732902865888</v>
      </c>
    </row>
    <row r="14" spans="1:15" ht="15" customHeight="1" x14ac:dyDescent="0.3">
      <c r="A14" s="7" t="s">
        <v>18</v>
      </c>
      <c r="B14" s="8">
        <v>567028</v>
      </c>
      <c r="C14" s="8">
        <v>606586</v>
      </c>
      <c r="D14" s="8">
        <v>665644</v>
      </c>
      <c r="E14" s="8">
        <v>694196</v>
      </c>
      <c r="F14" s="8">
        <v>672545</v>
      </c>
      <c r="G14" s="8">
        <v>678169</v>
      </c>
      <c r="H14" s="9">
        <f t="shared" si="0"/>
        <v>0.19600619369766573</v>
      </c>
    </row>
    <row r="15" spans="1:15" ht="15" customHeight="1" x14ac:dyDescent="0.3">
      <c r="A15" s="4" t="s">
        <v>19</v>
      </c>
      <c r="B15" s="5">
        <v>557529</v>
      </c>
      <c r="C15" s="5">
        <v>575551</v>
      </c>
      <c r="D15" s="5">
        <v>592907</v>
      </c>
      <c r="E15" s="5">
        <v>608704</v>
      </c>
      <c r="F15" s="5">
        <v>637419</v>
      </c>
      <c r="G15" s="5">
        <v>657518</v>
      </c>
      <c r="H15" s="6">
        <f t="shared" si="0"/>
        <v>0.17934313730765575</v>
      </c>
    </row>
    <row r="16" spans="1:15" ht="15" customHeight="1" x14ac:dyDescent="0.3">
      <c r="A16" s="7" t="s">
        <v>20</v>
      </c>
      <c r="B16" s="8">
        <v>2487686</v>
      </c>
      <c r="C16" s="8">
        <v>2340902</v>
      </c>
      <c r="D16" s="8">
        <v>2518153</v>
      </c>
      <c r="E16" s="8">
        <v>2532682</v>
      </c>
      <c r="F16" s="8">
        <v>2559666</v>
      </c>
      <c r="G16" s="8">
        <v>2612857</v>
      </c>
      <c r="H16" s="9">
        <f t="shared" si="0"/>
        <v>5.0316237660219178E-2</v>
      </c>
    </row>
    <row r="17" spans="1:8" ht="15" customHeight="1" x14ac:dyDescent="0.3">
      <c r="A17" s="10" t="s">
        <v>21</v>
      </c>
      <c r="B17" s="11">
        <f t="shared" ref="B17:G17" si="1">SUM(B5:B16)</f>
        <v>17656354</v>
      </c>
      <c r="C17" s="11">
        <f t="shared" si="1"/>
        <v>15612472</v>
      </c>
      <c r="D17" s="11">
        <f t="shared" si="1"/>
        <v>19614370</v>
      </c>
      <c r="E17" s="11">
        <f t="shared" si="1"/>
        <v>20877156</v>
      </c>
      <c r="F17" s="11">
        <f t="shared" si="1"/>
        <v>20766164</v>
      </c>
      <c r="G17" s="11">
        <f t="shared" si="1"/>
        <v>21439833</v>
      </c>
      <c r="H17" s="12">
        <f t="shared" si="0"/>
        <v>0.2142842740919218</v>
      </c>
    </row>
    <row r="19" spans="1:8" ht="15" customHeight="1" x14ac:dyDescent="0.3">
      <c r="A19" s="13" t="s">
        <v>22</v>
      </c>
    </row>
    <row r="20" spans="1:8" ht="15" customHeight="1" x14ac:dyDescent="0.3">
      <c r="A20" s="3" t="s">
        <v>1</v>
      </c>
      <c r="B20" s="3" t="s">
        <v>2</v>
      </c>
      <c r="C20" s="3" t="s">
        <v>3</v>
      </c>
      <c r="D20" s="3" t="s">
        <v>4</v>
      </c>
      <c r="E20" s="3" t="s">
        <v>5</v>
      </c>
      <c r="F20" s="3" t="s">
        <v>6</v>
      </c>
      <c r="G20" s="3" t="s">
        <v>7</v>
      </c>
    </row>
    <row r="21" spans="1:8" ht="15" customHeight="1" x14ac:dyDescent="0.3">
      <c r="A21" s="4" t="s">
        <v>9</v>
      </c>
      <c r="B21" s="14">
        <f>B5/B17</f>
        <v>0.14096868470126958</v>
      </c>
      <c r="C21" s="14">
        <f t="shared" ref="B21:G21" si="2">C5/C17</f>
        <v>0.15817065996979851</v>
      </c>
      <c r="D21" s="14">
        <f t="shared" si="2"/>
        <v>0.13997390688561498</v>
      </c>
      <c r="E21" s="14">
        <f t="shared" si="2"/>
        <v>0.13765160350384889</v>
      </c>
      <c r="F21" s="14">
        <f t="shared" si="2"/>
        <v>0.15114601810907397</v>
      </c>
      <c r="G21" s="14">
        <f t="shared" si="2"/>
        <v>0.13866446627639312</v>
      </c>
    </row>
    <row r="22" spans="1:8" ht="15" customHeight="1" x14ac:dyDescent="0.3">
      <c r="A22" s="7" t="s">
        <v>10</v>
      </c>
      <c r="B22" s="15">
        <f t="shared" ref="B22:G22" si="3">B6/B17</f>
        <v>8.7191274030867308E-3</v>
      </c>
      <c r="C22" s="15">
        <f t="shared" si="3"/>
        <v>6.8558009263363293E-3</v>
      </c>
      <c r="D22" s="15">
        <f t="shared" si="3"/>
        <v>7.8098353401103377E-3</v>
      </c>
      <c r="E22" s="15">
        <f t="shared" si="3"/>
        <v>7.3257583552089186E-3</v>
      </c>
      <c r="F22" s="15">
        <f t="shared" si="3"/>
        <v>4.8392664143459526E-3</v>
      </c>
      <c r="G22" s="15">
        <f t="shared" si="3"/>
        <v>6.5268232266547975E-3</v>
      </c>
    </row>
    <row r="23" spans="1:8" ht="15" customHeight="1" x14ac:dyDescent="0.3">
      <c r="A23" s="4" t="s">
        <v>11</v>
      </c>
      <c r="B23" s="14">
        <f t="shared" ref="B23:G23" si="4">B7/B17</f>
        <v>0.15599709883478774</v>
      </c>
      <c r="C23" s="14">
        <f t="shared" si="4"/>
        <v>0.14899363790692466</v>
      </c>
      <c r="D23" s="14">
        <f t="shared" si="4"/>
        <v>0.19301486614150748</v>
      </c>
      <c r="E23" s="14">
        <f t="shared" si="4"/>
        <v>0.19912003339918521</v>
      </c>
      <c r="F23" s="14">
        <f t="shared" si="4"/>
        <v>0.21275667475225565</v>
      </c>
      <c r="G23" s="14">
        <f t="shared" si="4"/>
        <v>0.2089017670986523</v>
      </c>
    </row>
    <row r="24" spans="1:8" ht="15" customHeight="1" x14ac:dyDescent="0.3">
      <c r="A24" s="7" t="s">
        <v>12</v>
      </c>
      <c r="B24" s="15">
        <f t="shared" ref="B24:G24" si="5">B8/B17</f>
        <v>0.18621698454845206</v>
      </c>
      <c r="C24" s="15">
        <f t="shared" si="5"/>
        <v>0.18977308654260516</v>
      </c>
      <c r="D24" s="15">
        <f t="shared" si="5"/>
        <v>0.19260322916310849</v>
      </c>
      <c r="E24" s="15">
        <f t="shared" si="5"/>
        <v>0.19585728056062809</v>
      </c>
      <c r="F24" s="15">
        <f t="shared" si="5"/>
        <v>0.17970285701297553</v>
      </c>
      <c r="G24" s="15">
        <f t="shared" si="5"/>
        <v>0.18140243909549109</v>
      </c>
    </row>
    <row r="25" spans="1:8" ht="15" customHeight="1" x14ac:dyDescent="0.3">
      <c r="A25" s="4" t="s">
        <v>13</v>
      </c>
      <c r="B25" s="14">
        <f t="shared" ref="B25:G25" si="6">B9/B17</f>
        <v>1.6607505717205262E-2</v>
      </c>
      <c r="C25" s="14">
        <f t="shared" si="6"/>
        <v>1.7715580210488129E-2</v>
      </c>
      <c r="D25" s="14">
        <f t="shared" si="6"/>
        <v>1.5544674644151201E-2</v>
      </c>
      <c r="E25" s="14">
        <f t="shared" si="6"/>
        <v>1.5875102911526839E-2</v>
      </c>
      <c r="F25" s="14">
        <f t="shared" si="6"/>
        <v>1.8262304005689255E-2</v>
      </c>
      <c r="G25" s="14">
        <f t="shared" si="6"/>
        <v>2.3580454194769149E-2</v>
      </c>
    </row>
    <row r="26" spans="1:8" ht="15" customHeight="1" x14ac:dyDescent="0.3">
      <c r="A26" s="7" t="s">
        <v>14</v>
      </c>
      <c r="B26" s="15">
        <f t="shared" ref="B26:G26" si="7">B10/B17</f>
        <v>0.12241394797589582</v>
      </c>
      <c r="C26" s="15">
        <f t="shared" si="7"/>
        <v>0.10201920618336417</v>
      </c>
      <c r="D26" s="15">
        <f t="shared" si="7"/>
        <v>0.11459817470558575</v>
      </c>
      <c r="E26" s="15">
        <f t="shared" si="7"/>
        <v>0.11673807486038808</v>
      </c>
      <c r="F26" s="15">
        <f t="shared" si="7"/>
        <v>9.8938349904199932E-2</v>
      </c>
      <c r="G26" s="15">
        <f t="shared" si="7"/>
        <v>0.10887412229376973</v>
      </c>
    </row>
    <row r="27" spans="1:8" ht="15" customHeight="1" x14ac:dyDescent="0.3">
      <c r="A27" s="4" t="s">
        <v>15</v>
      </c>
      <c r="B27" s="14">
        <f t="shared" ref="B27:G27" si="8">B11/B17</f>
        <v>8.7069674747119366E-2</v>
      </c>
      <c r="C27" s="14">
        <f t="shared" si="8"/>
        <v>8.6766720862653912E-2</v>
      </c>
      <c r="D27" s="14">
        <f t="shared" si="8"/>
        <v>8.3470129298060552E-2</v>
      </c>
      <c r="E27" s="14">
        <f t="shared" si="8"/>
        <v>8.1051221727710426E-2</v>
      </c>
      <c r="F27" s="14">
        <f t="shared" si="8"/>
        <v>8.2985572106624994E-2</v>
      </c>
      <c r="G27" s="14">
        <f t="shared" si="8"/>
        <v>8.2036739745127679E-2</v>
      </c>
    </row>
    <row r="28" spans="1:8" ht="15" customHeight="1" x14ac:dyDescent="0.3">
      <c r="A28" s="7" t="s">
        <v>16</v>
      </c>
      <c r="B28" s="15">
        <f t="shared" ref="B28:G28" si="9">B12/B17</f>
        <v>6.2395611234346574E-2</v>
      </c>
      <c r="C28" s="15">
        <f t="shared" si="9"/>
        <v>5.5707705993003544E-2</v>
      </c>
      <c r="D28" s="15">
        <f t="shared" si="9"/>
        <v>5.1308861819166253E-2</v>
      </c>
      <c r="E28" s="15">
        <f t="shared" si="9"/>
        <v>5.2009430786453863E-2</v>
      </c>
      <c r="F28" s="15">
        <f t="shared" si="9"/>
        <v>5.4052929563688318E-2</v>
      </c>
      <c r="G28" s="15">
        <f t="shared" si="9"/>
        <v>5.4938627553675443E-2</v>
      </c>
    </row>
    <row r="29" spans="1:8" ht="15" customHeight="1" x14ac:dyDescent="0.3">
      <c r="A29" s="4" t="s">
        <v>17</v>
      </c>
      <c r="B29" s="14">
        <f t="shared" ref="B29:G29" si="10">B13/B17</f>
        <v>1.5025355744453243E-2</v>
      </c>
      <c r="C29" s="14">
        <f t="shared" si="10"/>
        <v>8.3421766905330558E-3</v>
      </c>
      <c r="D29" s="14">
        <f t="shared" si="10"/>
        <v>9.1285113924128077E-3</v>
      </c>
      <c r="E29" s="14">
        <f t="shared" si="10"/>
        <v>1.0650013823721967E-2</v>
      </c>
      <c r="F29" s="14">
        <f t="shared" si="10"/>
        <v>1.0972994338289922E-2</v>
      </c>
      <c r="G29" s="14">
        <f t="shared" si="10"/>
        <v>1.0905961814161518E-2</v>
      </c>
    </row>
    <row r="30" spans="1:8" ht="15" customHeight="1" x14ac:dyDescent="0.3">
      <c r="A30" s="7" t="s">
        <v>18</v>
      </c>
      <c r="B30" s="15">
        <f t="shared" ref="B30:G30" si="11">B14/B17</f>
        <v>3.2114671013052862E-2</v>
      </c>
      <c r="C30" s="15">
        <f t="shared" si="11"/>
        <v>3.8852655748557945E-2</v>
      </c>
      <c r="D30" s="15">
        <f t="shared" si="11"/>
        <v>3.3936547541419886E-2</v>
      </c>
      <c r="E30" s="15">
        <f t="shared" si="11"/>
        <v>3.325146394461008E-2</v>
      </c>
      <c r="F30" s="15">
        <f t="shared" si="11"/>
        <v>3.2386578474483778E-2</v>
      </c>
      <c r="G30" s="15">
        <f t="shared" si="11"/>
        <v>3.1631263172618926E-2</v>
      </c>
    </row>
    <row r="31" spans="1:8" ht="15" customHeight="1" x14ac:dyDescent="0.3">
      <c r="A31" s="4" t="s">
        <v>19</v>
      </c>
      <c r="B31" s="14">
        <f t="shared" ref="B31:G31" si="12">B15/B17</f>
        <v>3.1576677721799187E-2</v>
      </c>
      <c r="C31" s="14">
        <f t="shared" si="12"/>
        <v>3.6864821919296319E-2</v>
      </c>
      <c r="D31" s="14">
        <f t="shared" si="12"/>
        <v>3.0228194940750071E-2</v>
      </c>
      <c r="E31" s="14">
        <f t="shared" si="12"/>
        <v>2.9156461732622967E-2</v>
      </c>
      <c r="F31" s="14">
        <f t="shared" si="12"/>
        <v>3.0695076856756019E-2</v>
      </c>
      <c r="G31" s="14">
        <f t="shared" si="12"/>
        <v>3.0668056043160412E-2</v>
      </c>
    </row>
    <row r="32" spans="1:8" ht="15" customHeight="1" x14ac:dyDescent="0.3">
      <c r="A32" s="7" t="s">
        <v>20</v>
      </c>
      <c r="B32" s="15">
        <f t="shared" ref="B32:G32" si="13">B16/B17</f>
        <v>0.14089466035853154</v>
      </c>
      <c r="C32" s="15">
        <f t="shared" si="13"/>
        <v>0.14993794704643826</v>
      </c>
      <c r="D32" s="15">
        <f t="shared" si="13"/>
        <v>0.1283830681281122</v>
      </c>
      <c r="E32" s="15">
        <f t="shared" si="13"/>
        <v>0.12131355439409468</v>
      </c>
      <c r="F32" s="15">
        <f t="shared" si="13"/>
        <v>0.12326137846161669</v>
      </c>
      <c r="G32" s="15">
        <f t="shared" si="13"/>
        <v>0.12186927948552584</v>
      </c>
    </row>
    <row r="33" spans="1:7" ht="15" customHeight="1" x14ac:dyDescent="0.3">
      <c r="A33" s="10" t="s">
        <v>23</v>
      </c>
      <c r="B33" s="16">
        <f>SUM(B21:B32)</f>
        <v>1</v>
      </c>
      <c r="C33" s="16">
        <f t="shared" ref="B33:G33" si="14">SUM(C21:C32)</f>
        <v>0.99999999999999989</v>
      </c>
      <c r="D33" s="16">
        <f t="shared" si="14"/>
        <v>0.99999999999999989</v>
      </c>
      <c r="E33" s="16">
        <f t="shared" si="14"/>
        <v>1</v>
      </c>
      <c r="F33" s="16">
        <f t="shared" si="14"/>
        <v>0.99999999999999989</v>
      </c>
      <c r="G33" s="16">
        <f t="shared" si="14"/>
        <v>0.99999999999999989</v>
      </c>
    </row>
    <row r="35" spans="1:7" ht="15" customHeight="1" x14ac:dyDescent="0.3">
      <c r="A35" s="17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"/>
  <sheetViews>
    <sheetView zoomScaleNormal="100" workbookViewId="0">
      <selection activeCell="B22" sqref="B22"/>
    </sheetView>
  </sheetViews>
  <sheetFormatPr baseColWidth="10" defaultColWidth="8.6640625" defaultRowHeight="14.4" x14ac:dyDescent="0.3"/>
  <cols>
    <col min="1" max="1" width="42" style="1" customWidth="1"/>
    <col min="2" max="3" width="16" style="1" customWidth="1"/>
    <col min="4" max="5" width="14" style="1" customWidth="1"/>
    <col min="6" max="6" width="12" style="1" customWidth="1"/>
    <col min="7" max="7" width="20" style="1" customWidth="1"/>
  </cols>
  <sheetData>
    <row r="1" spans="1:15" ht="30" customHeight="1" x14ac:dyDescent="0.3">
      <c r="A1" s="61" t="s">
        <v>173</v>
      </c>
      <c r="B1" s="62"/>
      <c r="C1" s="62"/>
      <c r="D1" s="62"/>
      <c r="E1" s="62"/>
      <c r="F1" s="62"/>
      <c r="G1" s="62"/>
      <c r="H1" s="63"/>
      <c r="I1" s="63"/>
      <c r="J1" s="63"/>
      <c r="K1" s="63"/>
      <c r="L1" s="63"/>
      <c r="M1" s="63"/>
      <c r="N1" s="63"/>
      <c r="O1" s="63"/>
    </row>
    <row r="2" spans="1:15" s="66" customFormat="1" ht="24" customHeight="1" x14ac:dyDescent="0.3">
      <c r="A2" s="64"/>
      <c r="B2" s="65"/>
      <c r="C2" s="65"/>
      <c r="D2" s="67"/>
      <c r="E2" s="67"/>
      <c r="F2" s="65"/>
      <c r="G2" s="65"/>
    </row>
    <row r="3" spans="1:15" ht="15" customHeight="1" x14ac:dyDescent="0.3">
      <c r="A3" s="18" t="s">
        <v>25</v>
      </c>
      <c r="D3" s="67"/>
      <c r="E3" s="67"/>
    </row>
    <row r="5" spans="1:15" ht="23.25" customHeight="1" x14ac:dyDescent="0.3">
      <c r="A5" s="3" t="s">
        <v>1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</row>
    <row r="6" spans="1:15" ht="15" customHeight="1" x14ac:dyDescent="0.3">
      <c r="A6" s="4" t="s">
        <v>9</v>
      </c>
      <c r="B6" s="5">
        <v>3138723</v>
      </c>
      <c r="C6" s="5">
        <v>29876543</v>
      </c>
      <c r="D6" s="19">
        <f>B6/B18</f>
        <v>0.15114601810907397</v>
      </c>
      <c r="E6" s="19">
        <f>C6/C18</f>
        <v>5.8055970530939423E-2</v>
      </c>
      <c r="F6" s="20">
        <f t="shared" ref="F6:F17" si="0">D6/E6</f>
        <v>2.6034534730329693</v>
      </c>
      <c r="G6" s="21" t="str">
        <f t="shared" ref="G6:G17" si="1">IF(F6&gt;1,"Especializado ✓","No especializado")</f>
        <v>Especializado ✓</v>
      </c>
    </row>
    <row r="7" spans="1:15" ht="15" customHeight="1" x14ac:dyDescent="0.3">
      <c r="A7" s="7" t="s">
        <v>10</v>
      </c>
      <c r="B7" s="8">
        <v>100493</v>
      </c>
      <c r="C7" s="8">
        <v>2574106</v>
      </c>
      <c r="D7" s="22">
        <f>B7/B18</f>
        <v>4.8392664143459526E-3</v>
      </c>
      <c r="E7" s="22">
        <f>C7/C18</f>
        <v>5.0019917658985632E-3</v>
      </c>
      <c r="F7" s="23">
        <f t="shared" si="0"/>
        <v>0.96746788895935365</v>
      </c>
      <c r="G7" s="24" t="str">
        <f t="shared" si="1"/>
        <v>No especializado</v>
      </c>
    </row>
    <row r="8" spans="1:15" ht="15" customHeight="1" x14ac:dyDescent="0.3">
      <c r="A8" s="4" t="s">
        <v>11</v>
      </c>
      <c r="B8" s="5">
        <v>4418140</v>
      </c>
      <c r="C8" s="5">
        <v>62259876</v>
      </c>
      <c r="D8" s="19">
        <f>B8/B18</f>
        <v>0.21275667475225565</v>
      </c>
      <c r="E8" s="19">
        <f>C8/C18</f>
        <v>0.12098312466458863</v>
      </c>
      <c r="F8" s="20">
        <f t="shared" si="0"/>
        <v>1.7585648853267619</v>
      </c>
      <c r="G8" s="21" t="str">
        <f t="shared" si="1"/>
        <v>Especializado ✓</v>
      </c>
    </row>
    <row r="9" spans="1:15" ht="15" customHeight="1" x14ac:dyDescent="0.3">
      <c r="A9" s="7" t="s">
        <v>12</v>
      </c>
      <c r="B9" s="8">
        <v>3731739</v>
      </c>
      <c r="C9" s="8">
        <v>71523456</v>
      </c>
      <c r="D9" s="22">
        <f>B9/B18</f>
        <v>0.17970285701297553</v>
      </c>
      <c r="E9" s="22">
        <f>C9/C18</f>
        <v>0.13898407368640148</v>
      </c>
      <c r="F9" s="23">
        <f t="shared" si="0"/>
        <v>1.292974455608852</v>
      </c>
      <c r="G9" s="24" t="str">
        <f t="shared" si="1"/>
        <v>Especializado ✓</v>
      </c>
    </row>
    <row r="10" spans="1:15" ht="15" customHeight="1" x14ac:dyDescent="0.3">
      <c r="A10" s="4" t="s">
        <v>13</v>
      </c>
      <c r="B10" s="5">
        <v>379238</v>
      </c>
      <c r="C10" s="5">
        <v>9260712</v>
      </c>
      <c r="D10" s="19">
        <f>B10/B18</f>
        <v>1.8262304005689255E-2</v>
      </c>
      <c r="E10" s="19">
        <f>C10/C18</f>
        <v>1.7995375936483586E-2</v>
      </c>
      <c r="F10" s="20">
        <f t="shared" si="0"/>
        <v>1.014833147701266</v>
      </c>
      <c r="G10" s="21" t="str">
        <f t="shared" si="1"/>
        <v>Especializado ✓</v>
      </c>
    </row>
    <row r="11" spans="1:15" ht="15" customHeight="1" x14ac:dyDescent="0.3">
      <c r="A11" s="7" t="s">
        <v>14</v>
      </c>
      <c r="B11" s="8">
        <v>2054570</v>
      </c>
      <c r="C11" s="8">
        <v>33482340</v>
      </c>
      <c r="D11" s="22">
        <f>B11/B18</f>
        <v>9.8938349904199932E-2</v>
      </c>
      <c r="E11" s="22">
        <f>C11/C18</f>
        <v>6.5062739833952485E-2</v>
      </c>
      <c r="F11" s="23">
        <f t="shared" si="0"/>
        <v>1.520660675475731</v>
      </c>
      <c r="G11" s="24" t="str">
        <f t="shared" si="1"/>
        <v>Especializado ✓</v>
      </c>
    </row>
    <row r="12" spans="1:15" ht="15" customHeight="1" x14ac:dyDescent="0.3">
      <c r="A12" s="4" t="s">
        <v>15</v>
      </c>
      <c r="B12" s="5">
        <v>1723292</v>
      </c>
      <c r="C12" s="5">
        <v>54034789</v>
      </c>
      <c r="D12" s="19">
        <f>B12/B18</f>
        <v>8.2985572106624994E-2</v>
      </c>
      <c r="E12" s="19">
        <f>C12/C18</f>
        <v>0.10500017079718794</v>
      </c>
      <c r="F12" s="20">
        <f t="shared" si="0"/>
        <v>0.7903374963733627</v>
      </c>
      <c r="G12" s="21" t="str">
        <f t="shared" si="1"/>
        <v>No especializado</v>
      </c>
    </row>
    <row r="13" spans="1:15" ht="15" customHeight="1" x14ac:dyDescent="0.3">
      <c r="A13" s="7" t="s">
        <v>16</v>
      </c>
      <c r="B13" s="8">
        <v>1122472</v>
      </c>
      <c r="C13" s="8">
        <v>26752341</v>
      </c>
      <c r="D13" s="22">
        <f>B13/B18</f>
        <v>5.4052929563688318E-2</v>
      </c>
      <c r="E13" s="22">
        <f>C13/C18</f>
        <v>5.1985034571424227E-2</v>
      </c>
      <c r="F13" s="23">
        <f t="shared" si="0"/>
        <v>1.0397786595567793</v>
      </c>
      <c r="G13" s="24" t="str">
        <f t="shared" si="1"/>
        <v>Especializado ✓</v>
      </c>
    </row>
    <row r="14" spans="1:15" ht="15" customHeight="1" x14ac:dyDescent="0.3">
      <c r="A14" s="4" t="s">
        <v>17</v>
      </c>
      <c r="B14" s="5">
        <v>227867</v>
      </c>
      <c r="C14" s="5">
        <v>12862456</v>
      </c>
      <c r="D14" s="19">
        <f>B14/B18</f>
        <v>1.0972994338289922E-2</v>
      </c>
      <c r="E14" s="19">
        <f>C14/C18</f>
        <v>2.4994269467237391E-2</v>
      </c>
      <c r="F14" s="20">
        <f t="shared" si="0"/>
        <v>0.43902040636448192</v>
      </c>
      <c r="G14" s="21" t="str">
        <f t="shared" si="1"/>
        <v>No especializado</v>
      </c>
    </row>
    <row r="15" spans="1:15" ht="15" customHeight="1" x14ac:dyDescent="0.3">
      <c r="A15" s="7" t="s">
        <v>18</v>
      </c>
      <c r="B15" s="8">
        <v>672545</v>
      </c>
      <c r="C15" s="8">
        <v>17493821</v>
      </c>
      <c r="D15" s="22">
        <f>B15/B18</f>
        <v>3.2386578474483778E-2</v>
      </c>
      <c r="E15" s="22">
        <f>C15/C18</f>
        <v>3.3993918119962184E-2</v>
      </c>
      <c r="F15" s="23">
        <f t="shared" si="0"/>
        <v>0.95271684658984546</v>
      </c>
      <c r="G15" s="24" t="str">
        <f t="shared" si="1"/>
        <v>No especializado</v>
      </c>
    </row>
    <row r="16" spans="1:15" ht="15" customHeight="1" x14ac:dyDescent="0.3">
      <c r="A16" s="4" t="s">
        <v>19</v>
      </c>
      <c r="B16" s="5">
        <v>637419</v>
      </c>
      <c r="C16" s="5">
        <v>25729084</v>
      </c>
      <c r="D16" s="19">
        <f>B16/B18</f>
        <v>3.0695076856756019E-2</v>
      </c>
      <c r="E16" s="19">
        <f>C16/C18</f>
        <v>4.9996645947024895E-2</v>
      </c>
      <c r="F16" s="20">
        <f t="shared" si="0"/>
        <v>0.61394272106332293</v>
      </c>
      <c r="G16" s="21" t="str">
        <f t="shared" si="1"/>
        <v>No especializado</v>
      </c>
    </row>
    <row r="17" spans="1:7" ht="15" customHeight="1" x14ac:dyDescent="0.3">
      <c r="A17" s="7" t="s">
        <v>20</v>
      </c>
      <c r="B17" s="8">
        <v>2559666</v>
      </c>
      <c r="C17" s="8">
        <v>168766677</v>
      </c>
      <c r="D17" s="22">
        <f>B17/B18</f>
        <v>0.12326137846161669</v>
      </c>
      <c r="E17" s="22">
        <f>C17/C18</f>
        <v>0.3279466846788992</v>
      </c>
      <c r="F17" s="23">
        <f t="shared" si="0"/>
        <v>0.3758579800320439</v>
      </c>
      <c r="G17" s="24" t="str">
        <f t="shared" si="1"/>
        <v>No especializado</v>
      </c>
    </row>
    <row r="18" spans="1:7" ht="15" customHeight="1" x14ac:dyDescent="0.3">
      <c r="A18" s="10" t="s">
        <v>21</v>
      </c>
      <c r="B18" s="11">
        <f>SUM(B6:B17)</f>
        <v>20766164</v>
      </c>
      <c r="C18" s="11">
        <f>SUM(C6:C17)</f>
        <v>514616201</v>
      </c>
      <c r="D18" s="25">
        <f>SUM(D6:D17)</f>
        <v>0.99999999999999989</v>
      </c>
      <c r="E18" s="25">
        <f>SUM(E6:E17)</f>
        <v>1</v>
      </c>
    </row>
    <row r="20" spans="1:7" ht="15" customHeight="1" x14ac:dyDescent="0.3">
      <c r="A20" s="17" t="s">
        <v>32</v>
      </c>
    </row>
    <row r="21" spans="1:7" ht="15" customHeight="1" x14ac:dyDescent="0.3">
      <c r="A21" s="17" t="s">
        <v>167</v>
      </c>
    </row>
  </sheetData>
  <mergeCells count="1">
    <mergeCell ref="D2:E3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  <oleObjects>
    <mc:AlternateContent xmlns:mc="http://schemas.openxmlformats.org/markup-compatibility/2006">
      <mc:Choice Requires="x14">
        <oleObject progId="Equation.DSMT4" shapeId="1025" r:id="rId3">
          <objectPr defaultSize="0" autoPict="0" r:id="rId4">
            <anchor moveWithCells="1" sizeWithCells="1">
              <from>
                <xdr:col>3</xdr:col>
                <xdr:colOff>266700</xdr:colOff>
                <xdr:row>1</xdr:row>
                <xdr:rowOff>53340</xdr:rowOff>
              </from>
              <to>
                <xdr:col>4</xdr:col>
                <xdr:colOff>510540</xdr:colOff>
                <xdr:row>2</xdr:row>
                <xdr:rowOff>137160</xdr:rowOff>
              </to>
            </anchor>
          </objectPr>
        </oleObject>
      </mc:Choice>
      <mc:Fallback>
        <oleObject progId="Equation.DSMT4" shapeId="1025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0"/>
  <sheetViews>
    <sheetView topLeftCell="A13" zoomScaleNormal="100" workbookViewId="0">
      <selection activeCell="C23" sqref="C23"/>
    </sheetView>
  </sheetViews>
  <sheetFormatPr baseColWidth="10" defaultColWidth="8.6640625" defaultRowHeight="14.4" x14ac:dyDescent="0.3"/>
  <cols>
    <col min="1" max="1" width="42" style="1" customWidth="1"/>
    <col min="2" max="2" width="12" style="1" customWidth="1"/>
    <col min="3" max="3" width="14.21875" style="1" customWidth="1"/>
    <col min="4" max="4" width="15" style="1" customWidth="1"/>
    <col min="5" max="5" width="14" style="1" customWidth="1"/>
    <col min="6" max="6" width="16" style="1" customWidth="1"/>
  </cols>
  <sheetData>
    <row r="1" spans="1:16" ht="30" customHeight="1" x14ac:dyDescent="0.3">
      <c r="A1" s="61" t="s">
        <v>169</v>
      </c>
      <c r="B1" s="62"/>
      <c r="C1" s="62"/>
      <c r="D1" s="62"/>
      <c r="E1" s="62"/>
      <c r="F1" s="62"/>
      <c r="G1" s="63"/>
      <c r="H1" s="63"/>
      <c r="I1" s="63"/>
      <c r="J1" s="63"/>
      <c r="K1" s="63"/>
      <c r="L1" s="63"/>
      <c r="M1" s="63"/>
      <c r="N1" s="63"/>
      <c r="O1" s="63"/>
      <c r="P1" s="63"/>
    </row>
    <row r="2" spans="1:16" x14ac:dyDescent="0.3">
      <c r="E2" s="49"/>
      <c r="F2" s="49"/>
    </row>
    <row r="3" spans="1:16" ht="15" customHeight="1" x14ac:dyDescent="0.3">
      <c r="A3" s="13" t="s">
        <v>33</v>
      </c>
      <c r="E3" s="49"/>
      <c r="F3" s="49"/>
    </row>
    <row r="4" spans="1:16" ht="15" customHeight="1" x14ac:dyDescent="0.3">
      <c r="A4" s="26" t="s">
        <v>34</v>
      </c>
    </row>
    <row r="5" spans="1:16" ht="34.5" customHeight="1" x14ac:dyDescent="0.3">
      <c r="A5" s="3" t="s">
        <v>1</v>
      </c>
      <c r="B5" s="3" t="s">
        <v>26</v>
      </c>
      <c r="C5" s="3" t="s">
        <v>174</v>
      </c>
      <c r="D5" s="3" t="s">
        <v>175</v>
      </c>
      <c r="E5" s="3" t="s">
        <v>176</v>
      </c>
      <c r="F5" s="3" t="s">
        <v>177</v>
      </c>
    </row>
    <row r="6" spans="1:16" ht="15" customHeight="1" x14ac:dyDescent="0.3">
      <c r="A6" s="4" t="s">
        <v>9</v>
      </c>
      <c r="B6" s="5">
        <v>3138723</v>
      </c>
      <c r="C6" s="19">
        <f>B6/B18</f>
        <v>0.15114601810907397</v>
      </c>
      <c r="D6" s="19">
        <f t="shared" ref="D6:D17" si="0">C6^2</f>
        <v>2.2845118790228516E-2</v>
      </c>
      <c r="E6" s="19">
        <f t="shared" ref="E6:E17" si="1">C6-1/12</f>
        <v>6.7812684775740636E-2</v>
      </c>
      <c r="F6" s="19">
        <f t="shared" ref="F6:F17" si="2">E6^2/(1/12)</f>
        <v>5.5182722597927593E-2</v>
      </c>
    </row>
    <row r="7" spans="1:16" ht="15" customHeight="1" x14ac:dyDescent="0.3">
      <c r="A7" s="7" t="s">
        <v>10</v>
      </c>
      <c r="B7" s="8">
        <v>100493</v>
      </c>
      <c r="C7" s="22">
        <f>B7/B18</f>
        <v>4.8392664143459526E-3</v>
      </c>
      <c r="D7" s="22">
        <f t="shared" si="0"/>
        <v>2.3418499429016733E-5</v>
      </c>
      <c r="E7" s="22">
        <f t="shared" si="1"/>
        <v>-7.8494066918987374E-2</v>
      </c>
      <c r="F7" s="22">
        <f t="shared" si="2"/>
        <v>7.3935822497789627E-2</v>
      </c>
    </row>
    <row r="8" spans="1:16" ht="15" customHeight="1" x14ac:dyDescent="0.3">
      <c r="A8" s="4" t="s">
        <v>11</v>
      </c>
      <c r="B8" s="5">
        <v>4418140</v>
      </c>
      <c r="C8" s="19">
        <f>B8/B18</f>
        <v>0.21275667475225565</v>
      </c>
      <c r="D8" s="19">
        <f t="shared" si="0"/>
        <v>4.5265402651637102E-2</v>
      </c>
      <c r="E8" s="19">
        <f t="shared" si="1"/>
        <v>0.12942334141892231</v>
      </c>
      <c r="F8" s="19">
        <f t="shared" si="2"/>
        <v>0.20100481564846717</v>
      </c>
    </row>
    <row r="9" spans="1:16" ht="15" customHeight="1" x14ac:dyDescent="0.3">
      <c r="A9" s="7" t="s">
        <v>12</v>
      </c>
      <c r="B9" s="8">
        <v>3731739</v>
      </c>
      <c r="C9" s="22">
        <f>B9/B18</f>
        <v>0.17970285701297553</v>
      </c>
      <c r="D9" s="22">
        <f t="shared" si="0"/>
        <v>3.2293116818625928E-2</v>
      </c>
      <c r="E9" s="22">
        <f t="shared" si="1"/>
        <v>9.6369523679642202E-2</v>
      </c>
      <c r="F9" s="22">
        <f t="shared" si="2"/>
        <v>0.11144502113089343</v>
      </c>
    </row>
    <row r="10" spans="1:16" ht="15" customHeight="1" x14ac:dyDescent="0.3">
      <c r="A10" s="4" t="s">
        <v>13</v>
      </c>
      <c r="B10" s="5">
        <v>379238</v>
      </c>
      <c r="C10" s="19">
        <f>B10/B18</f>
        <v>1.8262304005689255E-2</v>
      </c>
      <c r="D10" s="19">
        <f t="shared" si="0"/>
        <v>3.3351174759621382E-4</v>
      </c>
      <c r="E10" s="19">
        <f t="shared" si="1"/>
        <v>-6.5071029327644081E-2</v>
      </c>
      <c r="F10" s="19">
        <f t="shared" si="2"/>
        <v>5.0810866293109394E-2</v>
      </c>
    </row>
    <row r="11" spans="1:16" ht="15" customHeight="1" x14ac:dyDescent="0.3">
      <c r="A11" s="7" t="s">
        <v>14</v>
      </c>
      <c r="B11" s="8">
        <v>2054570</v>
      </c>
      <c r="C11" s="22">
        <f>B11/B18</f>
        <v>9.8938349904199932E-2</v>
      </c>
      <c r="D11" s="22">
        <f t="shared" si="0"/>
        <v>9.788797081765898E-3</v>
      </c>
      <c r="E11" s="22">
        <f t="shared" si="1"/>
        <v>1.5605016570866603E-2</v>
      </c>
      <c r="F11" s="22">
        <f t="shared" si="2"/>
        <v>2.9221985061242558E-3</v>
      </c>
    </row>
    <row r="12" spans="1:16" ht="15" customHeight="1" x14ac:dyDescent="0.3">
      <c r="A12" s="4" t="s">
        <v>15</v>
      </c>
      <c r="B12" s="5">
        <v>1723292</v>
      </c>
      <c r="C12" s="19">
        <f>B12/B18</f>
        <v>8.2985572106624994E-2</v>
      </c>
      <c r="D12" s="19">
        <f t="shared" si="0"/>
        <v>6.8866051778638561E-3</v>
      </c>
      <c r="E12" s="19">
        <f t="shared" si="1"/>
        <v>-3.4776122670833465E-4</v>
      </c>
      <c r="F12" s="19">
        <f t="shared" si="2"/>
        <v>1.4512544496202289E-6</v>
      </c>
    </row>
    <row r="13" spans="1:16" ht="15" customHeight="1" x14ac:dyDescent="0.3">
      <c r="A13" s="7" t="s">
        <v>16</v>
      </c>
      <c r="B13" s="8">
        <v>1122472</v>
      </c>
      <c r="C13" s="22">
        <f>B13/B18</f>
        <v>5.4052929563688318E-2</v>
      </c>
      <c r="D13" s="22">
        <f t="shared" si="0"/>
        <v>2.9217191944170507E-3</v>
      </c>
      <c r="E13" s="22">
        <f t="shared" si="1"/>
        <v>-2.9280403769645011E-2</v>
      </c>
      <c r="F13" s="22">
        <f t="shared" si="2"/>
        <v>1.0288104538961302E-2</v>
      </c>
    </row>
    <row r="14" spans="1:16" ht="15" customHeight="1" x14ac:dyDescent="0.3">
      <c r="A14" s="4" t="s">
        <v>17</v>
      </c>
      <c r="B14" s="5">
        <v>227867</v>
      </c>
      <c r="C14" s="19">
        <f>B14/B18</f>
        <v>1.0972994338289922E-2</v>
      </c>
      <c r="D14" s="19">
        <f t="shared" si="0"/>
        <v>1.2040660474814268E-4</v>
      </c>
      <c r="E14" s="19">
        <f t="shared" si="1"/>
        <v>-7.2360338995043405E-2</v>
      </c>
      <c r="F14" s="19">
        <f t="shared" si="2"/>
        <v>6.2832223913731194E-2</v>
      </c>
    </row>
    <row r="15" spans="1:16" ht="15" customHeight="1" x14ac:dyDescent="0.3">
      <c r="A15" s="7" t="s">
        <v>18</v>
      </c>
      <c r="B15" s="8">
        <v>672545</v>
      </c>
      <c r="C15" s="22">
        <f>B15/B18</f>
        <v>3.2386578474483778E-2</v>
      </c>
      <c r="D15" s="22">
        <f t="shared" si="0"/>
        <v>1.0488904652838961E-3</v>
      </c>
      <c r="E15" s="22">
        <f t="shared" si="1"/>
        <v>-5.0946754858849551E-2</v>
      </c>
      <c r="F15" s="22">
        <f t="shared" si="2"/>
        <v>3.1146861967772527E-2</v>
      </c>
    </row>
    <row r="16" spans="1:16" ht="15" customHeight="1" x14ac:dyDescent="0.3">
      <c r="A16" s="4" t="s">
        <v>19</v>
      </c>
      <c r="B16" s="5">
        <v>637419</v>
      </c>
      <c r="C16" s="19">
        <f>B16/B18</f>
        <v>3.0695076856756019E-2</v>
      </c>
      <c r="D16" s="19">
        <f t="shared" si="0"/>
        <v>9.4218774324215894E-4</v>
      </c>
      <c r="E16" s="19">
        <f t="shared" si="1"/>
        <v>-5.2638256476577314E-2</v>
      </c>
      <c r="F16" s="19">
        <f t="shared" si="2"/>
        <v>3.3249432538727204E-2</v>
      </c>
    </row>
    <row r="17" spans="1:6" ht="15" customHeight="1" x14ac:dyDescent="0.3">
      <c r="A17" s="7" t="s">
        <v>20</v>
      </c>
      <c r="B17" s="8">
        <v>2559666</v>
      </c>
      <c r="C17" s="22">
        <f>B17/B18</f>
        <v>0.12326137846161669</v>
      </c>
      <c r="D17" s="22">
        <f t="shared" si="0"/>
        <v>1.5193367420257904E-2</v>
      </c>
      <c r="E17" s="22">
        <f t="shared" si="1"/>
        <v>3.9928045128283365E-2</v>
      </c>
      <c r="F17" s="22">
        <f t="shared" si="2"/>
        <v>1.9130985453194797E-2</v>
      </c>
    </row>
    <row r="18" spans="1:6" ht="15" customHeight="1" x14ac:dyDescent="0.3">
      <c r="A18" s="10" t="s">
        <v>23</v>
      </c>
      <c r="B18" s="11">
        <f>SUM(B6:B17)</f>
        <v>20766164</v>
      </c>
      <c r="C18" s="25">
        <f>SUM(C6:C17)</f>
        <v>0.99999999999999989</v>
      </c>
    </row>
    <row r="20" spans="1:6" ht="15" customHeight="1" x14ac:dyDescent="0.3">
      <c r="A20" s="27" t="s">
        <v>35</v>
      </c>
      <c r="B20" s="28">
        <f>SUM(D6:D17)</f>
        <v>0.13766254219509569</v>
      </c>
      <c r="C20" s="29" t="s">
        <v>36</v>
      </c>
    </row>
    <row r="21" spans="1:6" ht="15" customHeight="1" x14ac:dyDescent="0.3">
      <c r="A21" s="27" t="s">
        <v>37</v>
      </c>
      <c r="B21" s="28">
        <f>SUM(F6:F17)</f>
        <v>0.65195050634114815</v>
      </c>
      <c r="C21" s="29" t="s">
        <v>38</v>
      </c>
    </row>
    <row r="23" spans="1:6" ht="15" customHeight="1" x14ac:dyDescent="0.3">
      <c r="A23" s="13" t="s">
        <v>39</v>
      </c>
      <c r="E23" s="49"/>
      <c r="F23" s="49"/>
    </row>
    <row r="24" spans="1:6" ht="29.4" customHeight="1" x14ac:dyDescent="0.3">
      <c r="A24" s="60" t="s">
        <v>40</v>
      </c>
      <c r="E24" s="49"/>
      <c r="F24" s="49"/>
    </row>
    <row r="25" spans="1:6" ht="15" customHeight="1" x14ac:dyDescent="0.3">
      <c r="A25" s="3" t="s">
        <v>1</v>
      </c>
      <c r="B25" s="3" t="s">
        <v>178</v>
      </c>
      <c r="C25" s="3" t="s">
        <v>179</v>
      </c>
      <c r="D25" s="3" t="s">
        <v>41</v>
      </c>
    </row>
    <row r="26" spans="1:6" ht="15" customHeight="1" x14ac:dyDescent="0.3">
      <c r="A26" s="4" t="s">
        <v>9</v>
      </c>
      <c r="B26" s="19">
        <v>0.15114601810907399</v>
      </c>
      <c r="C26" s="19">
        <v>5.8051649395154302E-2</v>
      </c>
      <c r="D26" s="19">
        <f t="shared" ref="D26:D37" si="3">ABS(B26-C26)</f>
        <v>9.3094368713919684E-2</v>
      </c>
    </row>
    <row r="27" spans="1:6" ht="15" customHeight="1" x14ac:dyDescent="0.3">
      <c r="A27" s="7" t="s">
        <v>10</v>
      </c>
      <c r="B27" s="22">
        <v>4.83926641434595E-3</v>
      </c>
      <c r="C27" s="22">
        <v>5.0016194650754301E-3</v>
      </c>
      <c r="D27" s="22">
        <f t="shared" si="3"/>
        <v>1.6235305072948014E-4</v>
      </c>
    </row>
    <row r="28" spans="1:6" ht="15" customHeight="1" x14ac:dyDescent="0.3">
      <c r="A28" s="4" t="s">
        <v>11</v>
      </c>
      <c r="B28" s="19">
        <v>0.21275667475225599</v>
      </c>
      <c r="C28" s="19">
        <v>0.12097411982831401</v>
      </c>
      <c r="D28" s="19">
        <f t="shared" si="3"/>
        <v>9.1782554923941981E-2</v>
      </c>
    </row>
    <row r="29" spans="1:6" ht="15" customHeight="1" x14ac:dyDescent="0.3">
      <c r="A29" s="7" t="s">
        <v>12</v>
      </c>
      <c r="B29" s="22">
        <v>0.179702857012976</v>
      </c>
      <c r="C29" s="22">
        <v>0.13897372903022101</v>
      </c>
      <c r="D29" s="22">
        <f t="shared" si="3"/>
        <v>4.0729127982754992E-2</v>
      </c>
    </row>
    <row r="30" spans="1:6" ht="15" customHeight="1" x14ac:dyDescent="0.3">
      <c r="A30" s="4" t="s">
        <v>13</v>
      </c>
      <c r="B30" s="19">
        <v>1.82623040056893E-2</v>
      </c>
      <c r="C30" s="19">
        <v>1.7994036531385101E-2</v>
      </c>
      <c r="D30" s="19">
        <f t="shared" si="3"/>
        <v>2.682674743041992E-4</v>
      </c>
    </row>
    <row r="31" spans="1:6" ht="15" customHeight="1" x14ac:dyDescent="0.3">
      <c r="A31" s="7" t="s">
        <v>14</v>
      </c>
      <c r="B31" s="22">
        <v>9.8938349904199904E-2</v>
      </c>
      <c r="C31" s="22">
        <v>6.5057897180719707E-2</v>
      </c>
      <c r="D31" s="22">
        <f t="shared" si="3"/>
        <v>3.3880452723480198E-2</v>
      </c>
    </row>
    <row r="32" spans="1:6" ht="15" customHeight="1" x14ac:dyDescent="0.3">
      <c r="A32" s="4" t="s">
        <v>15</v>
      </c>
      <c r="B32" s="19">
        <v>8.2985572106624994E-2</v>
      </c>
      <c r="C32" s="19">
        <v>0.104992355580401</v>
      </c>
      <c r="D32" s="19">
        <f t="shared" si="3"/>
        <v>2.2006783473776007E-2</v>
      </c>
    </row>
    <row r="33" spans="1:4" ht="15" customHeight="1" x14ac:dyDescent="0.3">
      <c r="A33" s="7" t="s">
        <v>16</v>
      </c>
      <c r="B33" s="22">
        <v>5.4052929563688297E-2</v>
      </c>
      <c r="C33" s="22">
        <v>5.19811652985291E-2</v>
      </c>
      <c r="D33" s="22">
        <f t="shared" si="3"/>
        <v>2.0717642651591969E-3</v>
      </c>
    </row>
    <row r="34" spans="1:4" ht="15" customHeight="1" x14ac:dyDescent="0.3">
      <c r="A34" s="4" t="s">
        <v>17</v>
      </c>
      <c r="B34" s="19">
        <v>1.0972994338289899E-2</v>
      </c>
      <c r="C34" s="19">
        <v>2.4992409130889098E-2</v>
      </c>
      <c r="D34" s="19">
        <f t="shared" si="3"/>
        <v>1.4019414792599199E-2</v>
      </c>
    </row>
    <row r="35" spans="1:4" ht="15" customHeight="1" x14ac:dyDescent="0.3">
      <c r="A35" s="7" t="s">
        <v>18</v>
      </c>
      <c r="B35" s="22">
        <v>3.2386578474483799E-2</v>
      </c>
      <c r="C35" s="22">
        <v>3.3991387935129902E-2</v>
      </c>
      <c r="D35" s="22">
        <f t="shared" si="3"/>
        <v>1.6048094606461033E-3</v>
      </c>
    </row>
    <row r="36" spans="1:4" ht="15" customHeight="1" x14ac:dyDescent="0.3">
      <c r="A36" s="4" t="s">
        <v>19</v>
      </c>
      <c r="B36" s="19">
        <v>3.0695076856756001E-2</v>
      </c>
      <c r="C36" s="19">
        <v>4.9992924670919099E-2</v>
      </c>
      <c r="D36" s="19">
        <f t="shared" si="3"/>
        <v>1.9297847814163098E-2</v>
      </c>
    </row>
    <row r="37" spans="1:4" ht="15" customHeight="1" x14ac:dyDescent="0.3">
      <c r="A37" s="7" t="s">
        <v>20</v>
      </c>
      <c r="B37" s="22">
        <v>0.123261378461617</v>
      </c>
      <c r="C37" s="22">
        <v>0.32792227543826802</v>
      </c>
      <c r="D37" s="22">
        <f t="shared" si="3"/>
        <v>0.20466089697665102</v>
      </c>
    </row>
    <row r="38" spans="1:4" ht="15" customHeight="1" x14ac:dyDescent="0.3">
      <c r="A38" s="27" t="s">
        <v>42</v>
      </c>
      <c r="D38" s="28">
        <f>SUM(D26:D37)</f>
        <v>0.5235786416521252</v>
      </c>
    </row>
    <row r="40" spans="1:4" ht="15" customHeight="1" x14ac:dyDescent="0.3">
      <c r="A40" s="17" t="s">
        <v>43</v>
      </c>
    </row>
  </sheetData>
  <mergeCells count="2">
    <mergeCell ref="E23:F24"/>
    <mergeCell ref="E2:F3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  <oleObjects>
    <mc:AlternateContent xmlns:mc="http://schemas.openxmlformats.org/markup-compatibility/2006">
      <mc:Choice Requires="x14">
        <oleObject progId="Equation.DSMT4" shapeId="4097" r:id="rId3">
          <objectPr defaultSize="0" r:id="rId4">
            <anchor moveWithCells="1">
              <from>
                <xdr:col>4</xdr:col>
                <xdr:colOff>480060</xdr:colOff>
                <xdr:row>22</xdr:row>
                <xdr:rowOff>22860</xdr:rowOff>
              </from>
              <to>
                <xdr:col>5</xdr:col>
                <xdr:colOff>662940</xdr:colOff>
                <xdr:row>23</xdr:row>
                <xdr:rowOff>358140</xdr:rowOff>
              </to>
            </anchor>
          </objectPr>
        </oleObject>
      </mc:Choice>
      <mc:Fallback>
        <oleObject progId="Equation.DSMT4" shapeId="4097" r:id="rId3"/>
      </mc:Fallback>
    </mc:AlternateContent>
    <mc:AlternateContent xmlns:mc="http://schemas.openxmlformats.org/markup-compatibility/2006">
      <mc:Choice Requires="x14">
        <oleObject progId="Equation.DSMT4" shapeId="4099" r:id="rId5">
          <objectPr defaultSize="0" r:id="rId6">
            <anchor moveWithCells="1">
              <from>
                <xdr:col>4</xdr:col>
                <xdr:colOff>525780</xdr:colOff>
                <xdr:row>1</xdr:row>
                <xdr:rowOff>38100</xdr:rowOff>
              </from>
              <to>
                <xdr:col>5</xdr:col>
                <xdr:colOff>525780</xdr:colOff>
                <xdr:row>2</xdr:row>
                <xdr:rowOff>152400</xdr:rowOff>
              </to>
            </anchor>
          </objectPr>
        </oleObject>
      </mc:Choice>
      <mc:Fallback>
        <oleObject progId="Equation.DSMT4" shapeId="4099" r:id="rId5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4"/>
  <sheetViews>
    <sheetView zoomScaleNormal="100" workbookViewId="0">
      <selection activeCell="C8" sqref="C8:D8"/>
    </sheetView>
  </sheetViews>
  <sheetFormatPr baseColWidth="10" defaultColWidth="8.6640625" defaultRowHeight="14.4" x14ac:dyDescent="0.3"/>
  <cols>
    <col min="1" max="1" width="42" style="1" customWidth="1"/>
    <col min="2" max="2" width="16" style="1" customWidth="1"/>
    <col min="3" max="3" width="20" style="1" customWidth="1"/>
    <col min="4" max="4" width="15" style="1" customWidth="1"/>
    <col min="5" max="5" width="12" style="1" customWidth="1"/>
    <col min="6" max="8" width="14" style="1" customWidth="1"/>
  </cols>
  <sheetData>
    <row r="1" spans="1:15" ht="30" customHeight="1" x14ac:dyDescent="0.3">
      <c r="A1" s="61" t="s">
        <v>172</v>
      </c>
      <c r="B1" s="62"/>
      <c r="C1" s="62"/>
      <c r="D1" s="62"/>
      <c r="E1" s="62"/>
      <c r="F1" s="62"/>
      <c r="G1" s="62"/>
      <c r="H1" s="62"/>
      <c r="I1" s="63"/>
      <c r="J1" s="63"/>
      <c r="K1" s="63"/>
      <c r="L1" s="63"/>
      <c r="M1" s="63"/>
      <c r="N1" s="63"/>
      <c r="O1" s="63"/>
    </row>
    <row r="2" spans="1:15" ht="15" customHeight="1" x14ac:dyDescent="0.3">
      <c r="A2" s="30" t="s">
        <v>44</v>
      </c>
      <c r="F2" s="49"/>
      <c r="G2" s="49"/>
    </row>
    <row r="3" spans="1:15" x14ac:dyDescent="0.3">
      <c r="F3" s="49"/>
      <c r="G3" s="49"/>
    </row>
    <row r="4" spans="1:15" ht="15" customHeight="1" x14ac:dyDescent="0.3">
      <c r="A4" s="13" t="s">
        <v>45</v>
      </c>
      <c r="F4" s="49"/>
      <c r="G4" s="49"/>
    </row>
    <row r="5" spans="1:15" ht="15" customHeight="1" x14ac:dyDescent="0.3">
      <c r="A5" s="3" t="s">
        <v>46</v>
      </c>
      <c r="B5" s="3" t="s">
        <v>47</v>
      </c>
      <c r="C5" s="50" t="s">
        <v>48</v>
      </c>
      <c r="D5" s="51"/>
      <c r="F5" s="49"/>
      <c r="G5" s="49"/>
    </row>
    <row r="6" spans="1:15" ht="15" customHeight="1" x14ac:dyDescent="0.3">
      <c r="A6" s="4" t="s">
        <v>49</v>
      </c>
      <c r="B6" s="5">
        <v>1500</v>
      </c>
      <c r="C6" s="52" t="s">
        <v>50</v>
      </c>
      <c r="D6" s="53"/>
    </row>
    <row r="7" spans="1:15" ht="15" customHeight="1" x14ac:dyDescent="0.3">
      <c r="A7" s="7" t="s">
        <v>51</v>
      </c>
      <c r="B7" s="8">
        <v>109196</v>
      </c>
      <c r="C7" s="54" t="s">
        <v>52</v>
      </c>
      <c r="D7" s="55"/>
    </row>
    <row r="8" spans="1:15" ht="15" customHeight="1" x14ac:dyDescent="0.3">
      <c r="A8" s="4" t="s">
        <v>53</v>
      </c>
      <c r="B8" s="5">
        <v>13843</v>
      </c>
      <c r="C8" s="52" t="s">
        <v>54</v>
      </c>
      <c r="D8" s="53"/>
    </row>
    <row r="9" spans="1:15" ht="15" customHeight="1" x14ac:dyDescent="0.3">
      <c r="A9" s="7" t="s">
        <v>55</v>
      </c>
      <c r="B9" s="8">
        <v>12205</v>
      </c>
      <c r="C9" s="54" t="s">
        <v>54</v>
      </c>
      <c r="D9" s="55"/>
    </row>
    <row r="10" spans="1:15" ht="15" customHeight="1" x14ac:dyDescent="0.3">
      <c r="A10" s="4" t="s">
        <v>56</v>
      </c>
      <c r="B10" s="5">
        <v>1154</v>
      </c>
      <c r="C10" s="52" t="s">
        <v>54</v>
      </c>
      <c r="D10" s="53"/>
    </row>
    <row r="11" spans="1:15" ht="15" customHeight="1" x14ac:dyDescent="0.3">
      <c r="A11" s="31" t="s">
        <v>57</v>
      </c>
      <c r="B11" s="28">
        <v>0.25659999999999999</v>
      </c>
      <c r="C11" s="56" t="s">
        <v>58</v>
      </c>
      <c r="D11" s="57"/>
      <c r="E11" s="48"/>
    </row>
    <row r="12" spans="1:15" ht="15" customHeight="1" x14ac:dyDescent="0.3">
      <c r="A12" s="4" t="s">
        <v>31</v>
      </c>
      <c r="B12" s="33" t="s">
        <v>59</v>
      </c>
      <c r="C12" s="52" t="s">
        <v>60</v>
      </c>
      <c r="D12" s="53"/>
      <c r="F12"/>
    </row>
    <row r="15" spans="1:15" ht="15" customHeight="1" x14ac:dyDescent="0.3">
      <c r="A15" s="13" t="s">
        <v>61</v>
      </c>
    </row>
    <row r="16" spans="1:15" ht="15" customHeight="1" x14ac:dyDescent="0.3">
      <c r="A16" s="26" t="s">
        <v>62</v>
      </c>
    </row>
    <row r="17" spans="1:8" ht="34.5" customHeight="1" x14ac:dyDescent="0.3">
      <c r="A17" s="3" t="s">
        <v>63</v>
      </c>
      <c r="B17" s="3" t="s">
        <v>64</v>
      </c>
      <c r="C17" s="3" t="s">
        <v>65</v>
      </c>
      <c r="D17" s="3" t="s">
        <v>66</v>
      </c>
      <c r="E17" s="3" t="s">
        <v>67</v>
      </c>
      <c r="F17" s="3" t="s">
        <v>68</v>
      </c>
      <c r="G17" s="3" t="s">
        <v>69</v>
      </c>
      <c r="H17" s="3" t="s">
        <v>70</v>
      </c>
    </row>
    <row r="18" spans="1:8" ht="15" customHeight="1" x14ac:dyDescent="0.3">
      <c r="A18" s="4" t="s">
        <v>71</v>
      </c>
      <c r="B18" s="5">
        <v>100493</v>
      </c>
      <c r="C18" s="19">
        <f>B18/B30</f>
        <v>4.8392664143459526E-3</v>
      </c>
      <c r="D18" s="19">
        <f>C18</f>
        <v>4.8392664143459526E-3</v>
      </c>
      <c r="E18" s="19">
        <f>1/12</f>
        <v>8.3333333333333329E-2</v>
      </c>
      <c r="F18" s="19">
        <f>E18</f>
        <v>8.3333333333333329E-2</v>
      </c>
      <c r="G18" s="19">
        <f>D18</f>
        <v>4.8392664143459526E-3</v>
      </c>
      <c r="H18" s="19">
        <f t="shared" ref="H18:H29" si="0">F18*G18</f>
        <v>4.0327220119549601E-4</v>
      </c>
    </row>
    <row r="19" spans="1:8" ht="15" customHeight="1" x14ac:dyDescent="0.3">
      <c r="A19" s="7" t="s">
        <v>72</v>
      </c>
      <c r="B19" s="8">
        <v>227867</v>
      </c>
      <c r="C19" s="22">
        <f>B19/B30</f>
        <v>1.0972994338289922E-2</v>
      </c>
      <c r="D19" s="22">
        <f t="shared" ref="D19:D29" si="1">D18+C19</f>
        <v>1.5812260752635875E-2</v>
      </c>
      <c r="E19" s="22">
        <f>2/12</f>
        <v>0.16666666666666666</v>
      </c>
      <c r="F19" s="22">
        <f t="shared" ref="F19:F29" si="2">E19-E18</f>
        <v>8.3333333333333329E-2</v>
      </c>
      <c r="G19" s="22">
        <f t="shared" ref="G19:G29" si="3">D19+D18</f>
        <v>2.0651527166981827E-2</v>
      </c>
      <c r="H19" s="22">
        <f t="shared" si="0"/>
        <v>1.7209605972484856E-3</v>
      </c>
    </row>
    <row r="20" spans="1:8" ht="15" customHeight="1" x14ac:dyDescent="0.3">
      <c r="A20" s="4" t="s">
        <v>73</v>
      </c>
      <c r="B20" s="5">
        <v>379238</v>
      </c>
      <c r="C20" s="19">
        <f>B20/B30</f>
        <v>1.8262304005689255E-2</v>
      </c>
      <c r="D20" s="19">
        <f t="shared" si="1"/>
        <v>3.4074564758325127E-2</v>
      </c>
      <c r="E20" s="19">
        <f>3/12</f>
        <v>0.25</v>
      </c>
      <c r="F20" s="19">
        <f t="shared" si="2"/>
        <v>8.3333333333333343E-2</v>
      </c>
      <c r="G20" s="19">
        <f t="shared" si="3"/>
        <v>4.9886825510961005E-2</v>
      </c>
      <c r="H20" s="19">
        <f t="shared" si="0"/>
        <v>4.1572354592467513E-3</v>
      </c>
    </row>
    <row r="21" spans="1:8" ht="15" customHeight="1" x14ac:dyDescent="0.3">
      <c r="A21" s="7" t="s">
        <v>74</v>
      </c>
      <c r="B21" s="8">
        <v>637419</v>
      </c>
      <c r="C21" s="22">
        <f>B21/B30</f>
        <v>3.0695076856756019E-2</v>
      </c>
      <c r="D21" s="22">
        <f t="shared" si="1"/>
        <v>6.4769641615081142E-2</v>
      </c>
      <c r="E21" s="22">
        <f>4/12</f>
        <v>0.33333333333333331</v>
      </c>
      <c r="F21" s="22">
        <f t="shared" si="2"/>
        <v>8.3333333333333315E-2</v>
      </c>
      <c r="G21" s="22">
        <f t="shared" si="3"/>
        <v>9.8844206373406268E-2</v>
      </c>
      <c r="H21" s="22">
        <f t="shared" si="0"/>
        <v>8.2370171977838545E-3</v>
      </c>
    </row>
    <row r="22" spans="1:8" ht="15" customHeight="1" x14ac:dyDescent="0.3">
      <c r="A22" s="4" t="s">
        <v>75</v>
      </c>
      <c r="B22" s="5">
        <v>672545</v>
      </c>
      <c r="C22" s="19">
        <f>B22/B30</f>
        <v>3.2386578474483778E-2</v>
      </c>
      <c r="D22" s="19">
        <f t="shared" si="1"/>
        <v>9.7156220089564926E-2</v>
      </c>
      <c r="E22" s="19">
        <f>5/12</f>
        <v>0.41666666666666669</v>
      </c>
      <c r="F22" s="19">
        <f t="shared" si="2"/>
        <v>8.333333333333337E-2</v>
      </c>
      <c r="G22" s="19">
        <f t="shared" si="3"/>
        <v>0.16192586170464607</v>
      </c>
      <c r="H22" s="19">
        <f t="shared" si="0"/>
        <v>1.3493821808720512E-2</v>
      </c>
    </row>
    <row r="23" spans="1:8" ht="15" customHeight="1" x14ac:dyDescent="0.3">
      <c r="A23" s="7" t="s">
        <v>76</v>
      </c>
      <c r="B23" s="8">
        <v>1122472</v>
      </c>
      <c r="C23" s="22">
        <f>B23/B30</f>
        <v>5.4052929563688318E-2</v>
      </c>
      <c r="D23" s="22">
        <f t="shared" si="1"/>
        <v>0.15120914965325324</v>
      </c>
      <c r="E23" s="22">
        <f>6/12</f>
        <v>0.5</v>
      </c>
      <c r="F23" s="22">
        <f t="shared" si="2"/>
        <v>8.3333333333333315E-2</v>
      </c>
      <c r="G23" s="22">
        <f t="shared" si="3"/>
        <v>0.24836536974281817</v>
      </c>
      <c r="H23" s="22">
        <f t="shared" si="0"/>
        <v>2.0697114145234844E-2</v>
      </c>
    </row>
    <row r="24" spans="1:8" ht="15" customHeight="1" x14ac:dyDescent="0.3">
      <c r="A24" s="4" t="s">
        <v>77</v>
      </c>
      <c r="B24" s="5">
        <v>1723292</v>
      </c>
      <c r="C24" s="19">
        <f>B24/B30</f>
        <v>8.2985572106624994E-2</v>
      </c>
      <c r="D24" s="19">
        <f t="shared" si="1"/>
        <v>0.23419472175987824</v>
      </c>
      <c r="E24" s="19">
        <f>7/12</f>
        <v>0.58333333333333337</v>
      </c>
      <c r="F24" s="19">
        <f t="shared" si="2"/>
        <v>8.333333333333337E-2</v>
      </c>
      <c r="G24" s="19">
        <f t="shared" si="3"/>
        <v>0.38540387141313148</v>
      </c>
      <c r="H24" s="19">
        <f t="shared" si="0"/>
        <v>3.211698928442764E-2</v>
      </c>
    </row>
    <row r="25" spans="1:8" ht="15" customHeight="1" x14ac:dyDescent="0.3">
      <c r="A25" s="7" t="s">
        <v>78</v>
      </c>
      <c r="B25" s="8">
        <v>2054570</v>
      </c>
      <c r="C25" s="22">
        <f>B25/B30</f>
        <v>9.8938349904199932E-2</v>
      </c>
      <c r="D25" s="22">
        <f t="shared" si="1"/>
        <v>0.33313307166407818</v>
      </c>
      <c r="E25" s="22">
        <f>8/12</f>
        <v>0.66666666666666663</v>
      </c>
      <c r="F25" s="22">
        <f t="shared" si="2"/>
        <v>8.3333333333333259E-2</v>
      </c>
      <c r="G25" s="22">
        <f t="shared" si="3"/>
        <v>0.56732779342395645</v>
      </c>
      <c r="H25" s="22">
        <f t="shared" si="0"/>
        <v>4.7277316118662996E-2</v>
      </c>
    </row>
    <row r="26" spans="1:8" ht="15" customHeight="1" x14ac:dyDescent="0.3">
      <c r="A26" s="4" t="s">
        <v>79</v>
      </c>
      <c r="B26" s="5">
        <v>2559666</v>
      </c>
      <c r="C26" s="19">
        <f>B26/B30</f>
        <v>0.12326137846161669</v>
      </c>
      <c r="D26" s="19">
        <f t="shared" si="1"/>
        <v>0.45639445012569491</v>
      </c>
      <c r="E26" s="19">
        <f>9/12</f>
        <v>0.75</v>
      </c>
      <c r="F26" s="19">
        <f t="shared" si="2"/>
        <v>8.333333333333337E-2</v>
      </c>
      <c r="G26" s="19">
        <f t="shared" si="3"/>
        <v>0.78952752178977303</v>
      </c>
      <c r="H26" s="19">
        <f t="shared" si="0"/>
        <v>6.5793960149147776E-2</v>
      </c>
    </row>
    <row r="27" spans="1:8" ht="15" customHeight="1" x14ac:dyDescent="0.3">
      <c r="A27" s="7" t="s">
        <v>80</v>
      </c>
      <c r="B27" s="8">
        <v>3138723</v>
      </c>
      <c r="C27" s="22">
        <f>B27/B30</f>
        <v>0.15114601810907397</v>
      </c>
      <c r="D27" s="22">
        <f t="shared" si="1"/>
        <v>0.60754046823476893</v>
      </c>
      <c r="E27" s="22">
        <f>10/12</f>
        <v>0.83333333333333337</v>
      </c>
      <c r="F27" s="22">
        <f t="shared" si="2"/>
        <v>8.333333333333337E-2</v>
      </c>
      <c r="G27" s="22">
        <f t="shared" si="3"/>
        <v>1.0639349183604638</v>
      </c>
      <c r="H27" s="22">
        <f t="shared" si="0"/>
        <v>8.8661243196705361E-2</v>
      </c>
    </row>
    <row r="28" spans="1:8" ht="15" customHeight="1" x14ac:dyDescent="0.3">
      <c r="A28" s="4" t="s">
        <v>81</v>
      </c>
      <c r="B28" s="5">
        <v>3731739</v>
      </c>
      <c r="C28" s="19">
        <f>B28/B30</f>
        <v>0.17970285701297553</v>
      </c>
      <c r="D28" s="19">
        <f t="shared" si="1"/>
        <v>0.78724332524774443</v>
      </c>
      <c r="E28" s="19">
        <f>11/12</f>
        <v>0.91666666666666663</v>
      </c>
      <c r="F28" s="19">
        <f t="shared" si="2"/>
        <v>8.3333333333333259E-2</v>
      </c>
      <c r="G28" s="19">
        <f t="shared" si="3"/>
        <v>1.3947837934825134</v>
      </c>
      <c r="H28" s="19">
        <f t="shared" si="0"/>
        <v>0.11623198279020934</v>
      </c>
    </row>
    <row r="29" spans="1:8" ht="15" customHeight="1" x14ac:dyDescent="0.3">
      <c r="A29" s="7" t="s">
        <v>82</v>
      </c>
      <c r="B29" s="8">
        <v>4418140</v>
      </c>
      <c r="C29" s="22">
        <f>B29/B30</f>
        <v>0.21275667475225565</v>
      </c>
      <c r="D29" s="22">
        <f t="shared" si="1"/>
        <v>1</v>
      </c>
      <c r="E29" s="22">
        <f>12/12</f>
        <v>1</v>
      </c>
      <c r="F29" s="22">
        <f t="shared" si="2"/>
        <v>8.333333333333337E-2</v>
      </c>
      <c r="G29" s="22">
        <f t="shared" si="3"/>
        <v>1.7872433252477444</v>
      </c>
      <c r="H29" s="22">
        <f t="shared" si="0"/>
        <v>0.14893694377064542</v>
      </c>
    </row>
    <row r="30" spans="1:8" ht="15" customHeight="1" x14ac:dyDescent="0.3">
      <c r="A30" s="10" t="s">
        <v>23</v>
      </c>
      <c r="B30" s="11">
        <f>SUM(B18:B29)</f>
        <v>20766164</v>
      </c>
    </row>
    <row r="32" spans="1:8" ht="15" customHeight="1" x14ac:dyDescent="0.3">
      <c r="A32" s="27" t="s">
        <v>83</v>
      </c>
      <c r="B32" s="28">
        <f>1-SUM(H18:H29)</f>
        <v>0.45227214328077148</v>
      </c>
      <c r="C32" s="34" t="s">
        <v>84</v>
      </c>
    </row>
    <row r="34" spans="1:1" ht="15" customHeight="1" x14ac:dyDescent="0.3">
      <c r="A34" s="17" t="s">
        <v>85</v>
      </c>
    </row>
  </sheetData>
  <mergeCells count="9">
    <mergeCell ref="C10:D10"/>
    <mergeCell ref="C11:D11"/>
    <mergeCell ref="C12:D12"/>
    <mergeCell ref="F2:G5"/>
    <mergeCell ref="C5:D5"/>
    <mergeCell ref="C6:D6"/>
    <mergeCell ref="C7:D7"/>
    <mergeCell ref="C8:D8"/>
    <mergeCell ref="C9:D9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  <oleObjects>
    <mc:AlternateContent xmlns:mc="http://schemas.openxmlformats.org/markup-compatibility/2006">
      <mc:Choice Requires="x14">
        <oleObject progId="Equation.DSMT4" shapeId="2049" r:id="rId3">
          <objectPr defaultSize="0" autoPict="0" r:id="rId4">
            <anchor moveWithCells="1" sizeWithCells="1">
              <from>
                <xdr:col>5</xdr:col>
                <xdr:colOff>76200</xdr:colOff>
                <xdr:row>2</xdr:row>
                <xdr:rowOff>30480</xdr:rowOff>
              </from>
              <to>
                <xdr:col>6</xdr:col>
                <xdr:colOff>922020</xdr:colOff>
                <xdr:row>4</xdr:row>
                <xdr:rowOff>91440</xdr:rowOff>
              </to>
            </anchor>
          </objectPr>
        </oleObject>
      </mc:Choice>
      <mc:Fallback>
        <oleObject progId="Equation.DSMT4" shapeId="2049" r:id="rId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9"/>
  <sheetViews>
    <sheetView topLeftCell="A10" zoomScaleNormal="100" workbookViewId="0">
      <selection sqref="A1:N1"/>
    </sheetView>
  </sheetViews>
  <sheetFormatPr baseColWidth="10" defaultColWidth="8.6640625" defaultRowHeight="14.4" x14ac:dyDescent="0.3"/>
  <cols>
    <col min="1" max="1" width="38" style="1" customWidth="1"/>
    <col min="2" max="2" width="18" style="1" customWidth="1"/>
    <col min="3" max="3" width="40" style="1" customWidth="1"/>
    <col min="4" max="4" width="14" style="1" customWidth="1"/>
    <col min="5" max="5" width="16" style="1" customWidth="1"/>
  </cols>
  <sheetData>
    <row r="1" spans="1:14" ht="30" customHeight="1" x14ac:dyDescent="0.3">
      <c r="A1" s="61" t="s">
        <v>171</v>
      </c>
      <c r="B1" s="62"/>
      <c r="C1" s="62"/>
      <c r="D1" s="62"/>
      <c r="E1" s="62"/>
      <c r="F1" s="63"/>
      <c r="G1" s="63"/>
      <c r="H1" s="63"/>
      <c r="I1" s="63"/>
      <c r="J1" s="63"/>
      <c r="K1" s="63"/>
      <c r="L1" s="63"/>
      <c r="M1" s="63"/>
      <c r="N1" s="63"/>
    </row>
    <row r="3" spans="1:14" ht="15" customHeight="1" x14ac:dyDescent="0.3">
      <c r="A3" s="13" t="s">
        <v>86</v>
      </c>
    </row>
    <row r="4" spans="1:14" ht="15" customHeight="1" x14ac:dyDescent="0.3">
      <c r="A4" s="3" t="s">
        <v>46</v>
      </c>
      <c r="B4" s="3" t="s">
        <v>5</v>
      </c>
      <c r="C4" s="3" t="s">
        <v>6</v>
      </c>
      <c r="D4" s="3" t="s">
        <v>7</v>
      </c>
      <c r="E4" s="3" t="s">
        <v>87</v>
      </c>
    </row>
    <row r="5" spans="1:14" ht="15" customHeight="1" x14ac:dyDescent="0.3">
      <c r="A5" s="4" t="s">
        <v>88</v>
      </c>
      <c r="B5" s="35">
        <v>762.4</v>
      </c>
      <c r="C5" s="35">
        <v>781</v>
      </c>
      <c r="D5" s="35">
        <v>798.8</v>
      </c>
      <c r="E5" s="6">
        <f>(D5-B5)/B5</f>
        <v>4.7743966421825781E-2</v>
      </c>
    </row>
    <row r="6" spans="1:14" ht="15" customHeight="1" x14ac:dyDescent="0.3">
      <c r="A6" s="7" t="s">
        <v>89</v>
      </c>
      <c r="B6" s="36">
        <v>25481.7</v>
      </c>
      <c r="C6" s="36">
        <v>25910</v>
      </c>
      <c r="D6" s="36">
        <v>26276.6</v>
      </c>
      <c r="E6" s="9">
        <f>(D6-B6)/B6</f>
        <v>3.1194935973659441E-2</v>
      </c>
    </row>
    <row r="7" spans="1:14" ht="15" customHeight="1" x14ac:dyDescent="0.3">
      <c r="A7" s="4" t="s">
        <v>90</v>
      </c>
      <c r="B7" s="14">
        <f>B5/B6</f>
        <v>2.9919510864659736E-2</v>
      </c>
      <c r="C7" s="14">
        <f>C5/C6</f>
        <v>3.0142802006947123E-2</v>
      </c>
      <c r="D7" s="14">
        <f>D5/D6</f>
        <v>3.0399671190336649E-2</v>
      </c>
    </row>
    <row r="8" spans="1:14" ht="15" customHeight="1" x14ac:dyDescent="0.3">
      <c r="A8" s="17" t="s">
        <v>91</v>
      </c>
    </row>
    <row r="10" spans="1:14" ht="15" customHeight="1" x14ac:dyDescent="0.3">
      <c r="A10" s="13" t="s">
        <v>92</v>
      </c>
    </row>
    <row r="11" spans="1:14" ht="15" customHeight="1" x14ac:dyDescent="0.3">
      <c r="A11" s="3" t="s">
        <v>46</v>
      </c>
      <c r="B11" s="3" t="s">
        <v>93</v>
      </c>
      <c r="C11" s="3" t="s">
        <v>94</v>
      </c>
    </row>
    <row r="12" spans="1:14" ht="15" customHeight="1" x14ac:dyDescent="0.3">
      <c r="A12" s="4" t="s">
        <v>95</v>
      </c>
      <c r="B12" s="5">
        <v>3794</v>
      </c>
      <c r="C12" s="4" t="s">
        <v>96</v>
      </c>
    </row>
    <row r="13" spans="1:14" ht="15" customHeight="1" x14ac:dyDescent="0.3">
      <c r="A13" s="7" t="s">
        <v>97</v>
      </c>
      <c r="B13" s="8">
        <v>2581</v>
      </c>
      <c r="C13" s="7" t="s">
        <v>98</v>
      </c>
    </row>
    <row r="14" spans="1:14" ht="15" customHeight="1" x14ac:dyDescent="0.3">
      <c r="A14" s="4" t="s">
        <v>99</v>
      </c>
      <c r="B14" s="5">
        <v>70</v>
      </c>
      <c r="C14" s="4" t="s">
        <v>100</v>
      </c>
    </row>
    <row r="15" spans="1:14" ht="15" customHeight="1" x14ac:dyDescent="0.3">
      <c r="A15" s="7" t="s">
        <v>101</v>
      </c>
      <c r="B15" s="8">
        <v>1141</v>
      </c>
      <c r="C15" s="7" t="s">
        <v>102</v>
      </c>
    </row>
    <row r="16" spans="1:14" ht="15" customHeight="1" x14ac:dyDescent="0.3">
      <c r="A16" s="31" t="s">
        <v>103</v>
      </c>
      <c r="B16" s="37">
        <f>(B12+B13)/(B12+B13+B14)</f>
        <v>0.98913886733902245</v>
      </c>
      <c r="C16" s="32">
        <f>B12+B13</f>
        <v>6375</v>
      </c>
    </row>
    <row r="17" spans="1:3" ht="15" customHeight="1" x14ac:dyDescent="0.3">
      <c r="A17" s="31" t="s">
        <v>104</v>
      </c>
      <c r="B17" s="38">
        <f>B13/(B12+B13)</f>
        <v>0.40486274509803921</v>
      </c>
      <c r="C17" s="32">
        <f>B15/(B12+B13+B14)</f>
        <v>0.17703646237393328</v>
      </c>
    </row>
    <row r="18" spans="1:3" ht="15" customHeight="1" x14ac:dyDescent="0.3">
      <c r="A18" s="31" t="s">
        <v>105</v>
      </c>
      <c r="B18" s="38">
        <f>B12/(B12+B13)</f>
        <v>0.59513725490196079</v>
      </c>
      <c r="C18" s="32">
        <f>B13/B15</f>
        <v>2.2620508326029798</v>
      </c>
    </row>
    <row r="19" spans="1:3" ht="15" customHeight="1" x14ac:dyDescent="0.3">
      <c r="A19" s="31" t="s">
        <v>106</v>
      </c>
      <c r="B19" s="38">
        <f>B12/B15</f>
        <v>3.3251533742331287</v>
      </c>
      <c r="C19" s="32">
        <f>B12/B15</f>
        <v>3.3251533742331287</v>
      </c>
    </row>
    <row r="20" spans="1:3" ht="15" customHeight="1" x14ac:dyDescent="0.3">
      <c r="A20" s="4" t="s">
        <v>107</v>
      </c>
      <c r="B20" s="5">
        <v>977</v>
      </c>
      <c r="C20" s="4" t="s">
        <v>108</v>
      </c>
    </row>
    <row r="21" spans="1:3" ht="15" customHeight="1" x14ac:dyDescent="0.3">
      <c r="A21" s="7" t="s">
        <v>109</v>
      </c>
      <c r="B21" s="8">
        <f>B20/B12</f>
        <v>0.25751186083289407</v>
      </c>
      <c r="C21" s="39">
        <f>B12-B19</f>
        <v>3790.6748466257668</v>
      </c>
    </row>
    <row r="22" spans="1:3" ht="15" customHeight="1" x14ac:dyDescent="0.3">
      <c r="A22" s="31" t="s">
        <v>110</v>
      </c>
      <c r="B22" s="38">
        <f>B19/B12</f>
        <v>8.7642418930762491E-4</v>
      </c>
      <c r="C22" s="32">
        <f>B19/B12</f>
        <v>8.7642418930762491E-4</v>
      </c>
    </row>
    <row r="23" spans="1:3" ht="15" customHeight="1" x14ac:dyDescent="0.3">
      <c r="A23" s="7" t="s">
        <v>111</v>
      </c>
      <c r="B23" s="8">
        <f>B22/12</f>
        <v>7.3035349108968738E-5</v>
      </c>
      <c r="C23" s="7" t="s">
        <v>112</v>
      </c>
    </row>
    <row r="24" spans="1:3" ht="15" customHeight="1" x14ac:dyDescent="0.3">
      <c r="A24" s="31" t="s">
        <v>113</v>
      </c>
      <c r="B24" s="37">
        <v>41.3</v>
      </c>
      <c r="C24" s="32" t="s">
        <v>114</v>
      </c>
    </row>
    <row r="25" spans="1:3" ht="15" customHeight="1" x14ac:dyDescent="0.3">
      <c r="A25" s="7" t="s">
        <v>115</v>
      </c>
      <c r="B25" s="8">
        <v>1640</v>
      </c>
      <c r="C25" s="7" t="s">
        <v>116</v>
      </c>
    </row>
    <row r="26" spans="1:3" ht="15" customHeight="1" x14ac:dyDescent="0.3">
      <c r="A26" s="4" t="s">
        <v>117</v>
      </c>
      <c r="B26" s="40">
        <v>41.3</v>
      </c>
      <c r="C26" s="4" t="s">
        <v>118</v>
      </c>
    </row>
    <row r="28" spans="1:3" ht="15" customHeight="1" x14ac:dyDescent="0.3">
      <c r="A28" s="17" t="s">
        <v>119</v>
      </c>
    </row>
    <row r="29" spans="1:3" ht="15" customHeight="1" x14ac:dyDescent="0.3">
      <c r="A29" s="17" t="s">
        <v>120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27"/>
  <sheetViews>
    <sheetView tabSelected="1" topLeftCell="A7" zoomScaleNormal="100" workbookViewId="0">
      <selection activeCell="P18" sqref="P18"/>
    </sheetView>
  </sheetViews>
  <sheetFormatPr baseColWidth="10" defaultColWidth="8.6640625" defaultRowHeight="14.4" x14ac:dyDescent="0.3"/>
  <cols>
    <col min="1" max="1" width="20" style="1" customWidth="1"/>
    <col min="2" max="6" width="10" style="1" customWidth="1"/>
    <col min="7" max="7" width="12.109375" style="1" customWidth="1"/>
    <col min="8" max="11" width="10" style="1" customWidth="1"/>
    <col min="12" max="12" width="14" style="1" customWidth="1"/>
  </cols>
  <sheetData>
    <row r="1" spans="1:19" ht="30" customHeight="1" x14ac:dyDescent="0.3">
      <c r="A1" s="61" t="s">
        <v>170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3"/>
      <c r="N1" s="63"/>
      <c r="O1" s="63"/>
      <c r="P1" s="63"/>
      <c r="Q1" s="63"/>
      <c r="R1" s="63"/>
      <c r="S1" s="63"/>
    </row>
    <row r="3" spans="1:19" ht="15" customHeight="1" x14ac:dyDescent="0.3">
      <c r="A3" s="68" t="s">
        <v>121</v>
      </c>
      <c r="B3" s="69"/>
      <c r="C3" s="69"/>
      <c r="D3" s="69"/>
      <c r="E3" s="69"/>
      <c r="F3" s="69"/>
      <c r="G3" s="69"/>
      <c r="H3" s="69"/>
      <c r="I3" s="69"/>
    </row>
    <row r="4" spans="1:19" ht="23.25" customHeight="1" x14ac:dyDescent="0.3">
      <c r="A4" s="3" t="s">
        <v>122</v>
      </c>
      <c r="B4" s="3" t="s">
        <v>123</v>
      </c>
      <c r="C4" s="3" t="s">
        <v>124</v>
      </c>
      <c r="D4" s="3" t="s">
        <v>125</v>
      </c>
      <c r="E4" s="50" t="s">
        <v>126</v>
      </c>
      <c r="F4" s="51"/>
      <c r="G4" s="51"/>
    </row>
    <row r="5" spans="1:19" ht="15" customHeight="1" x14ac:dyDescent="0.3">
      <c r="A5" s="32" t="s">
        <v>127</v>
      </c>
      <c r="B5" s="41">
        <v>1</v>
      </c>
      <c r="C5" s="42" t="s">
        <v>128</v>
      </c>
      <c r="D5" s="42" t="s">
        <v>129</v>
      </c>
      <c r="E5" s="56" t="s">
        <v>130</v>
      </c>
      <c r="F5" s="57"/>
      <c r="G5" s="57"/>
    </row>
    <row r="6" spans="1:19" ht="15" customHeight="1" x14ac:dyDescent="0.3">
      <c r="A6" s="32" t="s">
        <v>131</v>
      </c>
      <c r="B6" s="41">
        <v>47</v>
      </c>
      <c r="C6" s="42" t="s">
        <v>132</v>
      </c>
      <c r="D6" s="42" t="s">
        <v>133</v>
      </c>
      <c r="E6" s="56" t="s">
        <v>134</v>
      </c>
      <c r="F6" s="57"/>
      <c r="G6" s="57"/>
    </row>
    <row r="7" spans="1:19" ht="15" customHeight="1" x14ac:dyDescent="0.3">
      <c r="A7" s="4" t="s">
        <v>135</v>
      </c>
      <c r="B7" s="5">
        <v>1452</v>
      </c>
      <c r="C7" s="21" t="s">
        <v>136</v>
      </c>
      <c r="D7" s="21" t="s">
        <v>137</v>
      </c>
      <c r="E7" s="52" t="s">
        <v>138</v>
      </c>
      <c r="F7" s="53"/>
      <c r="G7" s="53"/>
    </row>
    <row r="8" spans="1:19" ht="15" customHeight="1" x14ac:dyDescent="0.3">
      <c r="A8" s="10" t="s">
        <v>139</v>
      </c>
      <c r="B8" s="11">
        <v>1500</v>
      </c>
      <c r="C8" s="43" t="s">
        <v>140</v>
      </c>
      <c r="D8" s="44"/>
      <c r="E8" s="58"/>
      <c r="F8" s="59"/>
      <c r="G8" s="59"/>
    </row>
    <row r="11" spans="1:19" ht="15" customHeight="1" x14ac:dyDescent="0.3">
      <c r="A11" s="68" t="s">
        <v>141</v>
      </c>
      <c r="B11" s="69"/>
      <c r="C11" s="69"/>
      <c r="D11" s="69"/>
      <c r="E11" s="69"/>
      <c r="F11" s="69"/>
      <c r="G11" s="69"/>
    </row>
    <row r="12" spans="1:19" ht="15" customHeight="1" x14ac:dyDescent="0.3">
      <c r="A12" s="30" t="s">
        <v>142</v>
      </c>
    </row>
    <row r="13" spans="1:19" ht="23.25" customHeight="1" x14ac:dyDescent="0.3">
      <c r="A13" s="3" t="s">
        <v>143</v>
      </c>
      <c r="B13" s="3" t="s">
        <v>144</v>
      </c>
      <c r="C13" s="3" t="s">
        <v>93</v>
      </c>
      <c r="D13" s="50" t="s">
        <v>31</v>
      </c>
      <c r="E13" s="51"/>
      <c r="F13" s="51"/>
      <c r="G13" s="51"/>
    </row>
    <row r="14" spans="1:19" ht="15" customHeight="1" x14ac:dyDescent="0.3">
      <c r="A14" s="4" t="s">
        <v>145</v>
      </c>
      <c r="B14" s="21" t="s">
        <v>146</v>
      </c>
      <c r="C14" s="28">
        <f>B5/B8</f>
        <v>6.6666666666666664E-4</v>
      </c>
      <c r="D14" s="52" t="s">
        <v>147</v>
      </c>
      <c r="E14" s="53"/>
      <c r="F14" s="53"/>
      <c r="G14" s="53"/>
    </row>
    <row r="15" spans="1:19" ht="15" customHeight="1" x14ac:dyDescent="0.3">
      <c r="A15" s="7" t="s">
        <v>148</v>
      </c>
      <c r="B15" s="24" t="s">
        <v>129</v>
      </c>
      <c r="C15" s="24" t="s">
        <v>149</v>
      </c>
      <c r="D15" s="54" t="s">
        <v>150</v>
      </c>
      <c r="E15" s="55"/>
      <c r="F15" s="55"/>
      <c r="G15" s="55"/>
    </row>
    <row r="16" spans="1:19" ht="15" customHeight="1" x14ac:dyDescent="0.3">
      <c r="A16" s="4" t="s">
        <v>151</v>
      </c>
      <c r="B16" s="21" t="s">
        <v>133</v>
      </c>
      <c r="C16" s="21" t="s">
        <v>152</v>
      </c>
      <c r="D16" s="52" t="s">
        <v>153</v>
      </c>
      <c r="E16" s="53"/>
      <c r="F16" s="53"/>
      <c r="G16" s="53"/>
    </row>
    <row r="19" spans="1:12" ht="15" customHeight="1" x14ac:dyDescent="0.3">
      <c r="A19" s="68" t="s">
        <v>154</v>
      </c>
      <c r="B19" s="69"/>
      <c r="C19" s="69"/>
      <c r="D19" s="69"/>
      <c r="E19" s="69"/>
      <c r="F19" s="69"/>
      <c r="G19" s="69"/>
    </row>
    <row r="20" spans="1:12" ht="15" customHeight="1" x14ac:dyDescent="0.3">
      <c r="A20" s="26" t="s">
        <v>155</v>
      </c>
    </row>
    <row r="21" spans="1:12" ht="15" customHeight="1" x14ac:dyDescent="0.3">
      <c r="A21" s="3" t="s">
        <v>156</v>
      </c>
      <c r="B21" s="3" t="s">
        <v>157</v>
      </c>
      <c r="C21" s="3" t="s">
        <v>158</v>
      </c>
      <c r="D21" s="3" t="s">
        <v>159</v>
      </c>
      <c r="E21" s="3" t="s">
        <v>2</v>
      </c>
      <c r="F21" s="3" t="s">
        <v>3</v>
      </c>
      <c r="G21" s="3" t="s">
        <v>4</v>
      </c>
      <c r="H21" s="3" t="s">
        <v>5</v>
      </c>
      <c r="I21" s="3" t="s">
        <v>6</v>
      </c>
      <c r="J21" s="3" t="s">
        <v>7</v>
      </c>
      <c r="K21" s="3" t="s">
        <v>160</v>
      </c>
      <c r="L21" s="3" t="s">
        <v>161</v>
      </c>
    </row>
    <row r="22" spans="1:12" ht="15" customHeight="1" x14ac:dyDescent="0.3">
      <c r="A22" s="10" t="s">
        <v>162</v>
      </c>
      <c r="B22" s="45">
        <v>4.2999999999999997E-2</v>
      </c>
      <c r="C22" s="45">
        <v>3.7999999999999999E-2</v>
      </c>
      <c r="D22" s="45">
        <v>3.1E-2</v>
      </c>
      <c r="E22" s="45">
        <v>2.8000000000000001E-2</v>
      </c>
      <c r="F22" s="45">
        <v>5.1999999999999998E-2</v>
      </c>
      <c r="G22" s="45">
        <v>4.1000000000000002E-2</v>
      </c>
      <c r="H22" s="45">
        <v>3.9E-2</v>
      </c>
      <c r="I22" s="45">
        <v>6.9000000000000006E-2</v>
      </c>
      <c r="J22" s="45">
        <v>7.0000000000000007E-2</v>
      </c>
      <c r="K22" s="45">
        <v>4.4999999999999998E-2</v>
      </c>
      <c r="L22" s="45">
        <f>K22-K22</f>
        <v>0</v>
      </c>
    </row>
    <row r="23" spans="1:12" ht="15" customHeight="1" x14ac:dyDescent="0.3">
      <c r="A23" s="46" t="s">
        <v>163</v>
      </c>
      <c r="B23" s="6">
        <v>0.20699999999999999</v>
      </c>
      <c r="C23" s="6">
        <v>0.217</v>
      </c>
      <c r="D23" s="6">
        <v>0.20499999999999999</v>
      </c>
      <c r="E23" s="6">
        <v>0.20200000000000001</v>
      </c>
      <c r="F23" s="6">
        <v>0.30099999999999999</v>
      </c>
      <c r="G23" s="6">
        <v>0.25900000000000001</v>
      </c>
      <c r="H23" s="6">
        <v>0.27500000000000002</v>
      </c>
      <c r="I23" s="6">
        <v>0.28999999999999998</v>
      </c>
      <c r="J23" s="6">
        <v>0.27600000000000002</v>
      </c>
      <c r="K23" s="6">
        <v>0.25700000000000001</v>
      </c>
      <c r="L23" s="6">
        <f>K22-K23</f>
        <v>-0.21200000000000002</v>
      </c>
    </row>
    <row r="24" spans="1:12" ht="15" customHeight="1" x14ac:dyDescent="0.3">
      <c r="A24" s="31" t="s">
        <v>164</v>
      </c>
      <c r="B24" s="47">
        <f t="shared" ref="B24:K24" si="0">B22-B23</f>
        <v>-0.16399999999999998</v>
      </c>
      <c r="C24" s="47">
        <f>C22-C23</f>
        <v>-0.17899999999999999</v>
      </c>
      <c r="D24" s="47">
        <f t="shared" si="0"/>
        <v>-0.17399999999999999</v>
      </c>
      <c r="E24" s="47">
        <f t="shared" si="0"/>
        <v>-0.17400000000000002</v>
      </c>
      <c r="F24" s="47">
        <f t="shared" si="0"/>
        <v>-0.249</v>
      </c>
      <c r="G24" s="47">
        <f t="shared" si="0"/>
        <v>-0.218</v>
      </c>
      <c r="H24" s="47">
        <f t="shared" si="0"/>
        <v>-0.23600000000000002</v>
      </c>
      <c r="I24" s="47">
        <f t="shared" si="0"/>
        <v>-0.22099999999999997</v>
      </c>
      <c r="J24" s="47">
        <f t="shared" si="0"/>
        <v>-0.20600000000000002</v>
      </c>
      <c r="K24" s="47">
        <f t="shared" si="0"/>
        <v>-0.21200000000000002</v>
      </c>
    </row>
    <row r="26" spans="1:12" ht="15" customHeight="1" x14ac:dyDescent="0.3">
      <c r="A26" s="17" t="s">
        <v>165</v>
      </c>
    </row>
    <row r="27" spans="1:12" ht="15" customHeight="1" x14ac:dyDescent="0.3">
      <c r="A27" s="17" t="s">
        <v>166</v>
      </c>
    </row>
  </sheetData>
  <mergeCells count="9">
    <mergeCell ref="D14:G14"/>
    <mergeCell ref="D15:G15"/>
    <mergeCell ref="D16:G16"/>
    <mergeCell ref="E4:G4"/>
    <mergeCell ref="E5:G5"/>
    <mergeCell ref="E6:G6"/>
    <mergeCell ref="E7:G7"/>
    <mergeCell ref="E8:G8"/>
    <mergeCell ref="D13:G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PVAB_Estructura</vt:lpstr>
      <vt:lpstr>Cociente_Localizacion</vt:lpstr>
      <vt:lpstr>Indices_Concentracion</vt:lpstr>
      <vt:lpstr>Gini_Desigualdad</vt:lpstr>
      <vt:lpstr>Mercado_Laboral</vt:lpstr>
      <vt:lpstr>Pobreza_Bienestar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Karen Medrano Valenzuela</cp:lastModifiedBy>
  <cp:revision>0</cp:revision>
  <dcterms:created xsi:type="dcterms:W3CDTF">2026-06-28T08:23:46Z</dcterms:created>
  <dcterms:modified xsi:type="dcterms:W3CDTF">2026-06-28T09:36:32Z</dcterms:modified>
  <dc:language>en-US</dc:language>
</cp:coreProperties>
</file>